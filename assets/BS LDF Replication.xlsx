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8752b30e443733b/Actuarial Research/resv_call_2026/assets/"/>
    </mc:Choice>
  </mc:AlternateContent>
  <xr:revisionPtr revIDLastSave="1" documentId="8_{5B6D806D-A252-4A3D-8845-3D33EEC7DD14}" xr6:coauthVersionLast="47" xr6:coauthVersionMax="47" xr10:uidLastSave="{F5BA1CAD-5C72-439E-B9EF-EB0DD49A6D48}"/>
  <bookViews>
    <workbookView minimized="1" xWindow="14010" yWindow="315" windowWidth="13065" windowHeight="12900" xr2:uid="{67D494F3-105C-4E55-8D06-C3E6FB163979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" l="1"/>
  <c r="G6" i="1"/>
  <c r="B25" i="1"/>
  <c r="B24" i="1"/>
  <c r="B12" i="1"/>
  <c r="B23" i="1"/>
  <c r="C23" i="1"/>
  <c r="B22" i="1"/>
  <c r="H7" i="1"/>
  <c r="F7" i="1"/>
  <c r="E7" i="1"/>
  <c r="C22" i="1"/>
  <c r="G7" i="1"/>
  <c r="E8" i="1"/>
  <c r="B14" i="1"/>
  <c r="C11" i="1"/>
  <c r="B11" i="1"/>
  <c r="H15" i="1"/>
  <c r="E5" i="1"/>
  <c r="E11" i="1" s="1"/>
  <c r="C21" i="1"/>
  <c r="C10" i="1" s="1"/>
  <c r="C12" i="1" s="1"/>
  <c r="B21" i="1"/>
  <c r="B10" i="1" s="1"/>
  <c r="C8" i="1"/>
  <c r="G11" i="1" s="1"/>
  <c r="B8" i="1"/>
  <c r="B9" i="1" s="1"/>
  <c r="E10" i="1" l="1"/>
  <c r="F10" i="1" s="1"/>
  <c r="B13" i="1"/>
  <c r="F8" i="1"/>
  <c r="H8" i="1" s="1"/>
  <c r="G10" i="1"/>
  <c r="F11" i="1"/>
  <c r="E9" i="1"/>
  <c r="F9" i="1" s="1"/>
  <c r="H10" i="1"/>
  <c r="G9" i="1"/>
  <c r="C13" i="1"/>
  <c r="D13" i="1" s="1"/>
  <c r="C9" i="1"/>
  <c r="D9" i="1" s="1"/>
  <c r="H11" i="1" l="1"/>
  <c r="H9" i="1"/>
</calcChain>
</file>

<file path=xl/sharedStrings.xml><?xml version="1.0" encoding="utf-8"?>
<sst xmlns="http://schemas.openxmlformats.org/spreadsheetml/2006/main" count="16" uniqueCount="12">
  <si>
    <t>ay</t>
  </si>
  <si>
    <t>12 to 24</t>
  </si>
  <si>
    <t>paid</t>
  </si>
  <si>
    <t>avg case</t>
  </si>
  <si>
    <t>case</t>
  </si>
  <si>
    <t>open</t>
  </si>
  <si>
    <t>current</t>
  </si>
  <si>
    <t>adj avg case</t>
  </si>
  <si>
    <t>actual reported</t>
  </si>
  <si>
    <t>adj reptd</t>
  </si>
  <si>
    <t>trend</t>
  </si>
  <si>
    <t>radq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</si>
</sst>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4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5209A-EBD8-4792-82B0-DE8C2063F112}">
  <dimension ref="A1:H25"/>
  <sheetViews>
    <sheetView tabSelected="1" workbookViewId="0">
      <selection activeCell="E8" sqref="E8"/>
    </sheetView>
  </sheetViews>
  <sheetFormatPr defaultRowHeight="15" x14ac:dyDescent="0.25"/>
  <cols>
    <col min="1" max="1" width="14.5703125" customWidth="1"/>
  </cols>
  <sheetData>
    <row r="1" spans="1:8" x14ac:dyDescent="0.25">
      <c r="A1" t="s">
        <v>0</v>
      </c>
      <c r="B1">
        <v>1973</v>
      </c>
    </row>
    <row r="2" spans="1:8" x14ac:dyDescent="0.25">
      <c r="A2" t="s">
        <v>1</v>
      </c>
    </row>
    <row r="4" spans="1:8" x14ac:dyDescent="0.25">
      <c r="B4">
        <v>12</v>
      </c>
      <c r="C4">
        <v>24</v>
      </c>
    </row>
    <row r="5" spans="1:8" x14ac:dyDescent="0.25">
      <c r="A5" t="s">
        <v>2</v>
      </c>
      <c r="B5">
        <v>213000</v>
      </c>
      <c r="C5">
        <v>833000</v>
      </c>
      <c r="E5">
        <f>C5-B5</f>
        <v>620000</v>
      </c>
    </row>
    <row r="6" spans="1:8" x14ac:dyDescent="0.25">
      <c r="A6" t="s">
        <v>4</v>
      </c>
      <c r="B6">
        <v>11015000</v>
      </c>
      <c r="C6">
        <v>19134000</v>
      </c>
      <c r="G6" s="2">
        <f>(C19/((1.15^2)*C10)*C5-B19/((1.15^3)*B10)*B5)/(B19/((1.15^3)*B10)*B5+B3)</f>
        <v>3.8132899963885887</v>
      </c>
    </row>
    <row r="7" spans="1:8" x14ac:dyDescent="0.25">
      <c r="A7" t="s">
        <v>5</v>
      </c>
      <c r="B7">
        <v>1088</v>
      </c>
      <c r="C7">
        <v>1388</v>
      </c>
      <c r="E7">
        <f>E8</f>
        <v>5.5219095119344502E-2</v>
      </c>
      <c r="F7">
        <f>1+E7</f>
        <v>1.0552190951193445</v>
      </c>
      <c r="G7">
        <f>(C10/C12*C7-B10/B12*B7)/B9</f>
        <v>0.72310295689348059</v>
      </c>
      <c r="H7">
        <f>F7+G7</f>
        <v>1.7783220520128251</v>
      </c>
    </row>
    <row r="8" spans="1:8" x14ac:dyDescent="0.25">
      <c r="A8" t="s">
        <v>3</v>
      </c>
      <c r="B8">
        <f>B6/B7</f>
        <v>10124.080882352941</v>
      </c>
      <c r="C8">
        <f>C6/C7</f>
        <v>13785.302593659942</v>
      </c>
      <c r="E8" s="2">
        <f>E5/(B5+B21/((1.15^3)*B12)*B7)</f>
        <v>5.5219095119344502E-2</v>
      </c>
      <c r="F8" s="2">
        <f>1+E8</f>
        <v>1.0552190951193445</v>
      </c>
      <c r="G8" s="2">
        <f>(C21/((1.15^2)*C12)*C7-B21/((1.15^3)*B12)*B7)/(B21/((1.15^3)*B12)*B7+B5)</f>
        <v>0.72310295689348092</v>
      </c>
      <c r="H8" s="2">
        <f>F8+G8</f>
        <v>1.7783220520128253</v>
      </c>
    </row>
    <row r="9" spans="1:8" x14ac:dyDescent="0.25">
      <c r="A9" t="s">
        <v>8</v>
      </c>
      <c r="B9">
        <f>B5+B7*B8</f>
        <v>11228000</v>
      </c>
      <c r="C9">
        <f>C5+C7*C8</f>
        <v>19967000</v>
      </c>
      <c r="D9">
        <f>C9/B9</f>
        <v>1.7783220520128251</v>
      </c>
      <c r="E9">
        <f>E5/(B5+B8*B7)</f>
        <v>5.5219095119344495E-2</v>
      </c>
      <c r="F9">
        <f>1+E9</f>
        <v>1.0552190951193445</v>
      </c>
      <c r="G9">
        <f>(C8*C7-B8*B7)/B9</f>
        <v>0.72310295689348059</v>
      </c>
      <c r="H9">
        <f>F9+G9</f>
        <v>1.7783220520128251</v>
      </c>
    </row>
    <row r="10" spans="1:8" x14ac:dyDescent="0.25">
      <c r="A10" t="s">
        <v>7</v>
      </c>
      <c r="B10">
        <f>B21/1.15^3</f>
        <v>8566.4029546448528</v>
      </c>
      <c r="C10">
        <f>C21/1.15^2</f>
        <v>24317.313224295231</v>
      </c>
      <c r="E10">
        <f>E5/(B5+B10*B7)</f>
        <v>6.5035557986521247E-2</v>
      </c>
      <c r="F10">
        <f>1+E10</f>
        <v>1.0650355579865212</v>
      </c>
      <c r="G10">
        <f>(C10*C7-B10*B7)/(B8/B12*B7+B5)</f>
        <v>1.84659749942928</v>
      </c>
      <c r="H10">
        <f>F10+G10</f>
        <v>2.9116330574158011</v>
      </c>
    </row>
    <row r="11" spans="1:8" x14ac:dyDescent="0.25">
      <c r="A11" t="s">
        <v>10</v>
      </c>
      <c r="B11">
        <f>1.15^3</f>
        <v>1.5208749999999995</v>
      </c>
      <c r="C11">
        <f>1.15^2</f>
        <v>1.3224999999999998</v>
      </c>
      <c r="E11">
        <f>E5/(B5+B8*B12*B7)</f>
        <v>6.5035557986521247E-2</v>
      </c>
      <c r="F11">
        <f>1+E11</f>
        <v>1.0650355579865212</v>
      </c>
      <c r="G11">
        <f>(C8*C12*C7-B8*B12*B7)/(B8*B12*B7+B5)</f>
        <v>2.5628399055240352</v>
      </c>
      <c r="H11">
        <f>F11+G11</f>
        <v>3.6278754635105566</v>
      </c>
    </row>
    <row r="12" spans="1:8" x14ac:dyDescent="0.25">
      <c r="B12" s="1">
        <f>B10/B8</f>
        <v>0.84614129956001816</v>
      </c>
      <c r="C12" s="1">
        <f>C10/C8</f>
        <v>1.7640028616766896</v>
      </c>
    </row>
    <row r="13" spans="1:8" x14ac:dyDescent="0.25">
      <c r="A13" t="s">
        <v>9</v>
      </c>
      <c r="B13">
        <f>B8*B12*B7+B5</f>
        <v>9533246.4146535993</v>
      </c>
      <c r="C13">
        <f>C10*C7+C5</f>
        <v>34585430.755321778</v>
      </c>
      <c r="D13">
        <f>C13/B13</f>
        <v>3.6278754635105566</v>
      </c>
    </row>
    <row r="14" spans="1:8" x14ac:dyDescent="0.25">
      <c r="B14">
        <f>B21/((1.15^3)*B12)</f>
        <v>10124.080882352939</v>
      </c>
    </row>
    <row r="15" spans="1:8" x14ac:dyDescent="0.25">
      <c r="G15" t="s">
        <v>11</v>
      </c>
      <c r="H15">
        <f>F16*1.1/F17</f>
        <v>0.95000000000000018</v>
      </c>
    </row>
    <row r="16" spans="1:8" x14ac:dyDescent="0.25">
      <c r="F16">
        <v>95</v>
      </c>
      <c r="G16" t="s">
        <v>10</v>
      </c>
      <c r="H16">
        <v>1.1000000000000001</v>
      </c>
    </row>
    <row r="17" spans="1:6" x14ac:dyDescent="0.25">
      <c r="F17">
        <v>110</v>
      </c>
    </row>
    <row r="18" spans="1:6" x14ac:dyDescent="0.25">
      <c r="A18" t="s">
        <v>6</v>
      </c>
      <c r="B18">
        <v>12</v>
      </c>
      <c r="C18">
        <v>24</v>
      </c>
    </row>
    <row r="19" spans="1:6" x14ac:dyDescent="0.25">
      <c r="A19" t="s">
        <v>4</v>
      </c>
      <c r="B19">
        <v>15582000</v>
      </c>
      <c r="C19">
        <v>47339000</v>
      </c>
    </row>
    <row r="20" spans="1:6" x14ac:dyDescent="0.25">
      <c r="A20" t="s">
        <v>5</v>
      </c>
      <c r="B20">
        <v>1196</v>
      </c>
      <c r="C20">
        <v>1472</v>
      </c>
    </row>
    <row r="21" spans="1:6" x14ac:dyDescent="0.25">
      <c r="A21" t="s">
        <v>3</v>
      </c>
      <c r="B21">
        <f>B19/B20</f>
        <v>13028.428093645485</v>
      </c>
      <c r="C21">
        <f>C19/C20</f>
        <v>32159.646739130436</v>
      </c>
    </row>
    <row r="22" spans="1:6" x14ac:dyDescent="0.25">
      <c r="B22">
        <f>B21/B12</f>
        <v>15397.461511948522</v>
      </c>
      <c r="C22">
        <f>C21/C12</f>
        <v>18231.062680115272</v>
      </c>
    </row>
    <row r="23" spans="1:6" x14ac:dyDescent="0.25">
      <c r="B23">
        <f>B22/1.15^3</f>
        <v>10124.080882352941</v>
      </c>
      <c r="C23">
        <f>C22/1.15^2</f>
        <v>13785.302593659942</v>
      </c>
    </row>
    <row r="24" spans="1:6" x14ac:dyDescent="0.25">
      <c r="B24">
        <f>B8*1.15^3</f>
        <v>15397.461511948524</v>
      </c>
    </row>
    <row r="25" spans="1:6" x14ac:dyDescent="0.25">
      <c r="B25">
        <f>B24/B21</f>
        <v>1.1818357058330404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Sahasrabuddhe</dc:creator>
  <cp:lastModifiedBy>Rajesh Sahasrabuddhe</cp:lastModifiedBy>
  <dcterms:created xsi:type="dcterms:W3CDTF">2026-03-08T18:30:28Z</dcterms:created>
  <dcterms:modified xsi:type="dcterms:W3CDTF">2026-03-11T23:49:48Z</dcterms:modified>
</cp:coreProperties>
</file>