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752b30e443733b/Actuarial Research/resv_call_2026/"/>
    </mc:Choice>
  </mc:AlternateContent>
  <xr:revisionPtr revIDLastSave="680" documentId="8_{2B0F7303-FADA-4CE4-A7AF-C0FE2D1A3995}" xr6:coauthVersionLast="47" xr6:coauthVersionMax="47" xr10:uidLastSave="{656A107C-EBF8-4811-82C1-7E54992CF977}"/>
  <bookViews>
    <workbookView xWindow="-120" yWindow="-120" windowWidth="29040" windowHeight="15720" activeTab="1" xr2:uid="{F72BACDC-A2CF-46AC-8E92-D1921FC9C8A1}"/>
  </bookViews>
  <sheets>
    <sheet name="med_mal" sheetId="1" r:id="rId1"/>
    <sheet name="med_mal v2" sheetId="2" r:id="rId2"/>
  </sheets>
  <definedNames>
    <definedName name="adjusted_case">'med_mal v2'!$B$76:$I$83</definedName>
    <definedName name="average_case">'med_mal v2'!$B$38:$I$45</definedName>
    <definedName name="cal_year">'med_mal v2'!$B$48:$I$55</definedName>
    <definedName name="case">'med_mal v2'!$B$20:$I$27</definedName>
    <definedName name="inflation">'med_mal v2'!$B$67:$I$74</definedName>
    <definedName name="open">'med_mal v2'!$B$29:$I$36</definedName>
    <definedName name="paid">'med_mal v2'!$B$11:$I$18</definedName>
    <definedName name="reported">'med_mal v2'!$B$2:$I$9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2" l="1"/>
  <c r="H67" i="2"/>
  <c r="H68" i="2"/>
  <c r="G67" i="2"/>
  <c r="G68" i="2"/>
  <c r="G69" i="2"/>
  <c r="F67" i="2"/>
  <c r="F68" i="2"/>
  <c r="F69" i="2"/>
  <c r="F70" i="2"/>
  <c r="E67" i="2"/>
  <c r="E68" i="2"/>
  <c r="E69" i="2"/>
  <c r="E70" i="2"/>
  <c r="E71" i="2"/>
  <c r="D67" i="2"/>
  <c r="D68" i="2"/>
  <c r="D69" i="2"/>
  <c r="D70" i="2"/>
  <c r="D71" i="2"/>
  <c r="D72" i="2"/>
  <c r="C67" i="2"/>
  <c r="C68" i="2"/>
  <c r="C69" i="2"/>
  <c r="C70" i="2"/>
  <c r="C71" i="2"/>
  <c r="C72" i="2"/>
  <c r="C73" i="2"/>
  <c r="B68" i="2"/>
  <c r="B69" i="2"/>
  <c r="B70" i="2"/>
  <c r="B71" i="2"/>
  <c r="B72" i="2"/>
  <c r="B73" i="2"/>
  <c r="B74" i="2"/>
  <c r="B67" i="2"/>
  <c r="I310" i="2"/>
  <c r="A301" i="2"/>
  <c r="A302" i="2" s="1"/>
  <c r="A303" i="2" s="1"/>
  <c r="A304" i="2" s="1"/>
  <c r="A305" i="2" s="1"/>
  <c r="A306" i="2" s="1"/>
  <c r="A307" i="2" s="1"/>
  <c r="A292" i="2"/>
  <c r="A293" i="2" s="1"/>
  <c r="A294" i="2" s="1"/>
  <c r="A295" i="2" s="1"/>
  <c r="A296" i="2" s="1"/>
  <c r="A297" i="2" s="1"/>
  <c r="A298" i="2" s="1"/>
  <c r="I288" i="2"/>
  <c r="A279" i="2"/>
  <c r="A280" i="2" s="1"/>
  <c r="A281" i="2" s="1"/>
  <c r="A282" i="2" s="1"/>
  <c r="A283" i="2" s="1"/>
  <c r="A284" i="2" s="1"/>
  <c r="A285" i="2" s="1"/>
  <c r="A112" i="2"/>
  <c r="A113" i="2" s="1"/>
  <c r="A114" i="2" s="1"/>
  <c r="A115" i="2" s="1"/>
  <c r="A116" i="2" s="1"/>
  <c r="A117" i="2" s="1"/>
  <c r="A118" i="2" s="1"/>
  <c r="A258" i="2"/>
  <c r="A259" i="2" s="1"/>
  <c r="A260" i="2" s="1"/>
  <c r="A261" i="2" s="1"/>
  <c r="A262" i="2" s="1"/>
  <c r="A263" i="2" s="1"/>
  <c r="A264" i="2" s="1"/>
  <c r="A249" i="2"/>
  <c r="A250" i="2" s="1"/>
  <c r="A251" i="2" s="1"/>
  <c r="A252" i="2" s="1"/>
  <c r="A253" i="2" s="1"/>
  <c r="A254" i="2" s="1"/>
  <c r="A255" i="2" s="1"/>
  <c r="I246" i="2"/>
  <c r="H246" i="2"/>
  <c r="G246" i="2"/>
  <c r="F246" i="2"/>
  <c r="E246" i="2"/>
  <c r="D246" i="2"/>
  <c r="C246" i="2"/>
  <c r="B246" i="2"/>
  <c r="I245" i="2"/>
  <c r="H245" i="2"/>
  <c r="G245" i="2"/>
  <c r="F245" i="2"/>
  <c r="E245" i="2"/>
  <c r="D245" i="2"/>
  <c r="C245" i="2"/>
  <c r="B245" i="2"/>
  <c r="I244" i="2"/>
  <c r="H244" i="2"/>
  <c r="G244" i="2"/>
  <c r="F244" i="2"/>
  <c r="E244" i="2"/>
  <c r="D244" i="2"/>
  <c r="C244" i="2"/>
  <c r="B244" i="2"/>
  <c r="I243" i="2"/>
  <c r="H243" i="2"/>
  <c r="G243" i="2"/>
  <c r="F243" i="2"/>
  <c r="E243" i="2"/>
  <c r="D243" i="2"/>
  <c r="C243" i="2"/>
  <c r="B243" i="2"/>
  <c r="I242" i="2"/>
  <c r="H242" i="2"/>
  <c r="G242" i="2"/>
  <c r="F242" i="2"/>
  <c r="E242" i="2"/>
  <c r="D242" i="2"/>
  <c r="C242" i="2"/>
  <c r="B242" i="2"/>
  <c r="A242" i="2"/>
  <c r="A243" i="2" s="1"/>
  <c r="A244" i="2" s="1"/>
  <c r="A245" i="2" s="1"/>
  <c r="A246" i="2" s="1"/>
  <c r="I241" i="2"/>
  <c r="H241" i="2"/>
  <c r="G241" i="2"/>
  <c r="F241" i="2"/>
  <c r="E241" i="2"/>
  <c r="D241" i="2"/>
  <c r="C241" i="2"/>
  <c r="B241" i="2"/>
  <c r="I240" i="2"/>
  <c r="H240" i="2"/>
  <c r="G240" i="2"/>
  <c r="F240" i="2"/>
  <c r="E240" i="2"/>
  <c r="D240" i="2"/>
  <c r="C240" i="2"/>
  <c r="B240" i="2"/>
  <c r="A240" i="2"/>
  <c r="A241" i="2" s="1"/>
  <c r="I239" i="2"/>
  <c r="H239" i="2"/>
  <c r="G239" i="2"/>
  <c r="F239" i="2"/>
  <c r="E239" i="2"/>
  <c r="D239" i="2"/>
  <c r="C239" i="2"/>
  <c r="B239" i="2"/>
  <c r="A231" i="2"/>
  <c r="A232" i="2" s="1"/>
  <c r="A233" i="2" s="1"/>
  <c r="A234" i="2" s="1"/>
  <c r="A235" i="2" s="1"/>
  <c r="A236" i="2" s="1"/>
  <c r="A237" i="2" s="1"/>
  <c r="I45" i="2"/>
  <c r="H45" i="2"/>
  <c r="G45" i="2"/>
  <c r="F45" i="2"/>
  <c r="E45" i="2"/>
  <c r="D45" i="2"/>
  <c r="C45" i="2"/>
  <c r="B45" i="2"/>
  <c r="I44" i="2"/>
  <c r="H44" i="2"/>
  <c r="G44" i="2"/>
  <c r="F44" i="2"/>
  <c r="E44" i="2"/>
  <c r="D44" i="2"/>
  <c r="C44" i="2"/>
  <c r="B44" i="2"/>
  <c r="I43" i="2"/>
  <c r="H43" i="2"/>
  <c r="G43" i="2"/>
  <c r="F43" i="2"/>
  <c r="E43" i="2"/>
  <c r="D43" i="2"/>
  <c r="C43" i="2"/>
  <c r="B43" i="2"/>
  <c r="I42" i="2"/>
  <c r="H42" i="2"/>
  <c r="G42" i="2"/>
  <c r="F42" i="2"/>
  <c r="E42" i="2"/>
  <c r="D42" i="2"/>
  <c r="C42" i="2"/>
  <c r="B42" i="2"/>
  <c r="I41" i="2"/>
  <c r="H41" i="2"/>
  <c r="G41" i="2"/>
  <c r="F41" i="2"/>
  <c r="E41" i="2"/>
  <c r="D41" i="2"/>
  <c r="C41" i="2"/>
  <c r="B41" i="2"/>
  <c r="I40" i="2"/>
  <c r="H40" i="2"/>
  <c r="G40" i="2"/>
  <c r="F40" i="2"/>
  <c r="E40" i="2"/>
  <c r="D40" i="2"/>
  <c r="C40" i="2"/>
  <c r="B40" i="2"/>
  <c r="I39" i="2"/>
  <c r="H39" i="2"/>
  <c r="G39" i="2"/>
  <c r="F39" i="2"/>
  <c r="E39" i="2"/>
  <c r="D39" i="2"/>
  <c r="C39" i="2"/>
  <c r="B39" i="2"/>
  <c r="I38" i="2"/>
  <c r="H38" i="2"/>
  <c r="G38" i="2"/>
  <c r="F38" i="2"/>
  <c r="E38" i="2"/>
  <c r="D38" i="2"/>
  <c r="C38" i="2"/>
  <c r="B38" i="2"/>
  <c r="A3" i="2"/>
  <c r="C1" i="2"/>
  <c r="D1" i="2" s="1"/>
  <c r="B182" i="1"/>
  <c r="J182" i="1"/>
  <c r="D121" i="1"/>
  <c r="C122" i="1"/>
  <c r="B122" i="1"/>
  <c r="B121" i="1"/>
  <c r="B120" i="1"/>
  <c r="B119" i="1"/>
  <c r="B118" i="1"/>
  <c r="B117" i="1"/>
  <c r="B123" i="1"/>
  <c r="I217" i="1"/>
  <c r="A208" i="1"/>
  <c r="A209" i="1" s="1"/>
  <c r="A210" i="1" s="1"/>
  <c r="A211" i="1" s="1"/>
  <c r="A212" i="1" s="1"/>
  <c r="A213" i="1" s="1"/>
  <c r="A214" i="1" s="1"/>
  <c r="A199" i="1"/>
  <c r="A200" i="1" s="1"/>
  <c r="A201" i="1" s="1"/>
  <c r="A202" i="1" s="1"/>
  <c r="A203" i="1" s="1"/>
  <c r="A204" i="1" s="1"/>
  <c r="A205" i="1" s="1"/>
  <c r="I195" i="1"/>
  <c r="A186" i="1"/>
  <c r="A187" i="1" s="1"/>
  <c r="A188" i="1" s="1"/>
  <c r="A189" i="1" s="1"/>
  <c r="A190" i="1" s="1"/>
  <c r="A191" i="1" s="1"/>
  <c r="A192" i="1" s="1"/>
  <c r="A177" i="1"/>
  <c r="A178" i="1" s="1"/>
  <c r="A179" i="1" s="1"/>
  <c r="A180" i="1" s="1"/>
  <c r="A181" i="1" s="1"/>
  <c r="A182" i="1" s="1"/>
  <c r="A183" i="1" s="1"/>
  <c r="A165" i="1"/>
  <c r="A166" i="1" s="1"/>
  <c r="A167" i="1" s="1"/>
  <c r="A168" i="1" s="1"/>
  <c r="A169" i="1" s="1"/>
  <c r="A170" i="1" s="1"/>
  <c r="A171" i="1" s="1"/>
  <c r="A156" i="1"/>
  <c r="A157" i="1" s="1"/>
  <c r="A158" i="1" s="1"/>
  <c r="A159" i="1" s="1"/>
  <c r="A160" i="1" s="1"/>
  <c r="A161" i="1" s="1"/>
  <c r="A162" i="1" s="1"/>
  <c r="C146" i="1"/>
  <c r="D146" i="1"/>
  <c r="E146" i="1"/>
  <c r="F146" i="1"/>
  <c r="G146" i="1"/>
  <c r="H146" i="1"/>
  <c r="I146" i="1"/>
  <c r="C147" i="1"/>
  <c r="D147" i="1"/>
  <c r="E147" i="1"/>
  <c r="F147" i="1"/>
  <c r="G147" i="1"/>
  <c r="H147" i="1"/>
  <c r="I147" i="1"/>
  <c r="C148" i="1"/>
  <c r="D148" i="1"/>
  <c r="E148" i="1"/>
  <c r="F148" i="1"/>
  <c r="G148" i="1"/>
  <c r="H148" i="1"/>
  <c r="I148" i="1"/>
  <c r="C149" i="1"/>
  <c r="D149" i="1"/>
  <c r="E149" i="1"/>
  <c r="F149" i="1"/>
  <c r="G149" i="1"/>
  <c r="H149" i="1"/>
  <c r="I149" i="1"/>
  <c r="C150" i="1"/>
  <c r="D150" i="1"/>
  <c r="E150" i="1"/>
  <c r="F150" i="1"/>
  <c r="G150" i="1"/>
  <c r="H150" i="1"/>
  <c r="I150" i="1"/>
  <c r="C151" i="1"/>
  <c r="D151" i="1"/>
  <c r="E151" i="1"/>
  <c r="F151" i="1"/>
  <c r="G151" i="1"/>
  <c r="H151" i="1"/>
  <c r="I151" i="1"/>
  <c r="C152" i="1"/>
  <c r="D152" i="1"/>
  <c r="E152" i="1"/>
  <c r="F152" i="1"/>
  <c r="G152" i="1"/>
  <c r="H152" i="1"/>
  <c r="I152" i="1"/>
  <c r="C153" i="1"/>
  <c r="D153" i="1"/>
  <c r="E153" i="1"/>
  <c r="F153" i="1"/>
  <c r="G153" i="1"/>
  <c r="H153" i="1"/>
  <c r="I153" i="1"/>
  <c r="B147" i="1"/>
  <c r="B148" i="1"/>
  <c r="B149" i="1"/>
  <c r="B150" i="1"/>
  <c r="B151" i="1"/>
  <c r="B152" i="1"/>
  <c r="B153" i="1"/>
  <c r="B146" i="1"/>
  <c r="A147" i="1"/>
  <c r="A148" i="1" s="1"/>
  <c r="A149" i="1" s="1"/>
  <c r="A150" i="1" s="1"/>
  <c r="A151" i="1" s="1"/>
  <c r="A152" i="1" s="1"/>
  <c r="A153" i="1" s="1"/>
  <c r="A138" i="1"/>
  <c r="A139" i="1" s="1"/>
  <c r="A140" i="1" s="1"/>
  <c r="A141" i="1" s="1"/>
  <c r="A142" i="1" s="1"/>
  <c r="A143" i="1" s="1"/>
  <c r="A144" i="1" s="1"/>
  <c r="C38" i="1"/>
  <c r="M128" i="1" s="1"/>
  <c r="D38" i="1"/>
  <c r="N128" i="1" s="1"/>
  <c r="E38" i="1"/>
  <c r="O128" i="1" s="1"/>
  <c r="F38" i="1"/>
  <c r="P128" i="1" s="1"/>
  <c r="G38" i="1"/>
  <c r="Q128" i="1" s="1"/>
  <c r="H38" i="1"/>
  <c r="R128" i="1" s="1"/>
  <c r="I38" i="1"/>
  <c r="S128" i="1" s="1"/>
  <c r="C39" i="1"/>
  <c r="M129" i="1" s="1"/>
  <c r="D39" i="1"/>
  <c r="N129" i="1" s="1"/>
  <c r="E39" i="1"/>
  <c r="O129" i="1" s="1"/>
  <c r="F39" i="1"/>
  <c r="P129" i="1" s="1"/>
  <c r="G39" i="1"/>
  <c r="Q129" i="1" s="1"/>
  <c r="H39" i="1"/>
  <c r="R129" i="1" s="1"/>
  <c r="I39" i="1"/>
  <c r="S129" i="1" s="1"/>
  <c r="C40" i="1"/>
  <c r="M130" i="1" s="1"/>
  <c r="D40" i="1"/>
  <c r="N130" i="1" s="1"/>
  <c r="E40" i="1"/>
  <c r="O130" i="1" s="1"/>
  <c r="F40" i="1"/>
  <c r="P130" i="1" s="1"/>
  <c r="G40" i="1"/>
  <c r="Q130" i="1" s="1"/>
  <c r="H40" i="1"/>
  <c r="R130" i="1" s="1"/>
  <c r="I40" i="1"/>
  <c r="S130" i="1" s="1"/>
  <c r="C41" i="1"/>
  <c r="M131" i="1" s="1"/>
  <c r="D41" i="1"/>
  <c r="N131" i="1" s="1"/>
  <c r="E41" i="1"/>
  <c r="O131" i="1" s="1"/>
  <c r="F41" i="1"/>
  <c r="P131" i="1" s="1"/>
  <c r="G41" i="1"/>
  <c r="Q131" i="1" s="1"/>
  <c r="H41" i="1"/>
  <c r="R131" i="1" s="1"/>
  <c r="I41" i="1"/>
  <c r="S131" i="1" s="1"/>
  <c r="C42" i="1"/>
  <c r="M132" i="1" s="1"/>
  <c r="D42" i="1"/>
  <c r="N132" i="1" s="1"/>
  <c r="E42" i="1"/>
  <c r="O132" i="1" s="1"/>
  <c r="F42" i="1"/>
  <c r="P132" i="1" s="1"/>
  <c r="G42" i="1"/>
  <c r="Q132" i="1" s="1"/>
  <c r="H42" i="1"/>
  <c r="R132" i="1" s="1"/>
  <c r="I42" i="1"/>
  <c r="S132" i="1" s="1"/>
  <c r="C43" i="1"/>
  <c r="M133" i="1" s="1"/>
  <c r="D43" i="1"/>
  <c r="N133" i="1" s="1"/>
  <c r="E43" i="1"/>
  <c r="O133" i="1" s="1"/>
  <c r="F43" i="1"/>
  <c r="P133" i="1" s="1"/>
  <c r="G43" i="1"/>
  <c r="Q133" i="1" s="1"/>
  <c r="H43" i="1"/>
  <c r="R133" i="1" s="1"/>
  <c r="I43" i="1"/>
  <c r="S133" i="1" s="1"/>
  <c r="C44" i="1"/>
  <c r="M134" i="1" s="1"/>
  <c r="D44" i="1"/>
  <c r="N134" i="1" s="1"/>
  <c r="E44" i="1"/>
  <c r="O134" i="1" s="1"/>
  <c r="F44" i="1"/>
  <c r="P134" i="1" s="1"/>
  <c r="G44" i="1"/>
  <c r="Q134" i="1" s="1"/>
  <c r="H44" i="1"/>
  <c r="R134" i="1" s="1"/>
  <c r="I44" i="1"/>
  <c r="S134" i="1" s="1"/>
  <c r="C45" i="1"/>
  <c r="M135" i="1" s="1"/>
  <c r="D45" i="1"/>
  <c r="N135" i="1" s="1"/>
  <c r="E45" i="1"/>
  <c r="O135" i="1" s="1"/>
  <c r="F45" i="1"/>
  <c r="P135" i="1" s="1"/>
  <c r="G45" i="1"/>
  <c r="Q135" i="1" s="1"/>
  <c r="H45" i="1"/>
  <c r="R135" i="1" s="1"/>
  <c r="I45" i="1"/>
  <c r="S135" i="1" s="1"/>
  <c r="B39" i="1"/>
  <c r="L129" i="1" s="1"/>
  <c r="B40" i="1"/>
  <c r="L130" i="1" s="1"/>
  <c r="B41" i="1"/>
  <c r="L131" i="1" s="1"/>
  <c r="B42" i="1"/>
  <c r="L132" i="1" s="1"/>
  <c r="B43" i="1"/>
  <c r="L133" i="1" s="1"/>
  <c r="B44" i="1"/>
  <c r="L134" i="1" s="1"/>
  <c r="B45" i="1"/>
  <c r="B46" i="1" s="1" a="1"/>
  <c r="B46" i="1" s="1"/>
  <c r="B38" i="1"/>
  <c r="L128" i="1" s="1"/>
  <c r="C1" i="1"/>
  <c r="A3" i="1"/>
  <c r="A4" i="1" s="1"/>
  <c r="A5" i="1" s="1"/>
  <c r="A6" i="1" s="1"/>
  <c r="A7" i="1" s="1"/>
  <c r="A8" i="1" s="1"/>
  <c r="A9" i="1" s="1"/>
  <c r="D46" i="2" l="1" a="1"/>
  <c r="D46" i="2" s="1"/>
  <c r="D201" i="2" s="1"/>
  <c r="C46" i="2" a="1"/>
  <c r="C46" i="2" s="1"/>
  <c r="C202" i="2" s="1"/>
  <c r="B46" i="2" a="1"/>
  <c r="B46" i="2" s="1"/>
  <c r="B201" i="2" s="1"/>
  <c r="A4" i="2"/>
  <c r="E1" i="2"/>
  <c r="A97" i="1" a="1"/>
  <c r="A97" i="1" s="1"/>
  <c r="A107" i="1" a="1"/>
  <c r="A107" i="1" s="1"/>
  <c r="B107" i="1"/>
  <c r="B109" i="1"/>
  <c r="B108" i="1"/>
  <c r="B110" i="1"/>
  <c r="B114" i="1"/>
  <c r="B113" i="1"/>
  <c r="B112" i="1"/>
  <c r="B111" i="1"/>
  <c r="A117" i="1" a="1"/>
  <c r="A117" i="1" s="1"/>
  <c r="A87" i="1" a="1"/>
  <c r="A87" i="1" s="1"/>
  <c r="A11" i="1" a="1"/>
  <c r="A11" i="1" s="1"/>
  <c r="A20" i="1" a="1"/>
  <c r="A20" i="1" s="1"/>
  <c r="A29" i="1" a="1"/>
  <c r="A29" i="1" s="1"/>
  <c r="A38" i="1" a="1"/>
  <c r="A38" i="1" s="1"/>
  <c r="A48" i="1" a="1"/>
  <c r="A48" i="1" s="1"/>
  <c r="A58" i="1" a="1"/>
  <c r="A58" i="1" s="1"/>
  <c r="A67" i="1" a="1"/>
  <c r="A67" i="1" s="1"/>
  <c r="A77" i="1" a="1"/>
  <c r="A77" i="1" s="1"/>
  <c r="A128" i="1" a="1"/>
  <c r="A128" i="1" s="1"/>
  <c r="L135" i="1"/>
  <c r="C46" i="1" a="1"/>
  <c r="C46" i="1" s="1"/>
  <c r="C112" i="1" s="1"/>
  <c r="D1" i="1"/>
  <c r="D202" i="2" l="1"/>
  <c r="D206" i="2"/>
  <c r="D204" i="2"/>
  <c r="D205" i="2"/>
  <c r="D207" i="2"/>
  <c r="D200" i="2"/>
  <c r="D203" i="2"/>
  <c r="A5" i="2"/>
  <c r="A6" i="2" s="1"/>
  <c r="A7" i="2" s="1"/>
  <c r="A8" i="2" s="1"/>
  <c r="A9" i="2" s="1"/>
  <c r="A58" i="2" a="1"/>
  <c r="A58" i="2" s="1"/>
  <c r="B207" i="2"/>
  <c r="C203" i="2"/>
  <c r="C201" i="2"/>
  <c r="B202" i="2"/>
  <c r="C206" i="2"/>
  <c r="B203" i="2"/>
  <c r="B204" i="2"/>
  <c r="A76" i="2" a="1"/>
  <c r="A76" i="2" s="1"/>
  <c r="A38" i="2" a="1"/>
  <c r="A38" i="2" s="1"/>
  <c r="B206" i="2"/>
  <c r="B205" i="2"/>
  <c r="C200" i="2"/>
  <c r="C207" i="2"/>
  <c r="C205" i="2"/>
  <c r="B200" i="2"/>
  <c r="C204" i="2"/>
  <c r="A200" i="2" a="1"/>
  <c r="A200" i="2" s="1"/>
  <c r="A136" i="2" a="1"/>
  <c r="A136" i="2" s="1"/>
  <c r="A67" i="2" a="1"/>
  <c r="A67" i="2" s="1"/>
  <c r="A20" i="2" a="1"/>
  <c r="A20" i="2" s="1"/>
  <c r="A11" i="2" a="1"/>
  <c r="A11" i="2" s="1"/>
  <c r="A126" i="2" a="1"/>
  <c r="A126" i="2" s="1"/>
  <c r="A29" i="2" a="1"/>
  <c r="A29" i="2" s="1"/>
  <c r="A221" i="2" a="1"/>
  <c r="A221" i="2" s="1"/>
  <c r="A48" i="2" a="1"/>
  <c r="E46" i="2" a="1"/>
  <c r="E46" i="2" s="1"/>
  <c r="F1" i="2"/>
  <c r="A190" i="2" a="1"/>
  <c r="A190" i="2" s="1"/>
  <c r="C111" i="1"/>
  <c r="C114" i="1"/>
  <c r="C110" i="1"/>
  <c r="C113" i="1"/>
  <c r="C108" i="1"/>
  <c r="C109" i="1"/>
  <c r="C107" i="1"/>
  <c r="E52" i="1"/>
  <c r="H55" i="1"/>
  <c r="I53" i="1"/>
  <c r="H51" i="1"/>
  <c r="I54" i="1"/>
  <c r="B51" i="1"/>
  <c r="F54" i="1"/>
  <c r="D52" i="1"/>
  <c r="B54" i="1"/>
  <c r="F51" i="1"/>
  <c r="D51" i="1"/>
  <c r="F50" i="1"/>
  <c r="E50" i="1"/>
  <c r="I55" i="1"/>
  <c r="G55" i="1"/>
  <c r="D53" i="1"/>
  <c r="D56" i="1" s="1" a="1"/>
  <c r="D56" i="1" s="1"/>
  <c r="D50" i="1"/>
  <c r="C53" i="1"/>
  <c r="G52" i="1"/>
  <c r="E55" i="1"/>
  <c r="B53" i="1"/>
  <c r="I49" i="1"/>
  <c r="G54" i="1"/>
  <c r="D55" i="1"/>
  <c r="H49" i="1"/>
  <c r="D49" i="1"/>
  <c r="G49" i="1"/>
  <c r="G51" i="1"/>
  <c r="E54" i="1"/>
  <c r="D54" i="1"/>
  <c r="E51" i="1"/>
  <c r="F52" i="1"/>
  <c r="C54" i="1"/>
  <c r="C56" i="1" s="1" a="1"/>
  <c r="C56" i="1" s="1"/>
  <c r="B55" i="1"/>
  <c r="B56" i="1" s="1" a="1"/>
  <c r="B56" i="1" s="1"/>
  <c r="B65" i="1" s="1"/>
  <c r="C55" i="1"/>
  <c r="B52" i="1"/>
  <c r="G50" i="1"/>
  <c r="H50" i="1"/>
  <c r="B49" i="1"/>
  <c r="C49" i="1"/>
  <c r="F53" i="1"/>
  <c r="H53" i="1"/>
  <c r="H54" i="1"/>
  <c r="H52" i="1"/>
  <c r="I52" i="1"/>
  <c r="C52" i="1"/>
  <c r="E53" i="1"/>
  <c r="E49" i="1"/>
  <c r="I50" i="1"/>
  <c r="I51" i="1"/>
  <c r="B50" i="1"/>
  <c r="C50" i="1"/>
  <c r="F49" i="1"/>
  <c r="C51" i="1"/>
  <c r="F55" i="1"/>
  <c r="G53" i="1"/>
  <c r="D46" i="1" a="1"/>
  <c r="D46" i="1" s="1"/>
  <c r="E1" i="1"/>
  <c r="A85" i="2" l="1" a="1"/>
  <c r="A85" i="2" s="1"/>
  <c r="A210" i="2" a="1"/>
  <c r="A210" i="2" s="1"/>
  <c r="A180" i="2" a="1"/>
  <c r="A180" i="2" s="1"/>
  <c r="G1" i="2"/>
  <c r="F46" i="2" a="1"/>
  <c r="F46" i="2" s="1"/>
  <c r="E206" i="2"/>
  <c r="E201" i="2"/>
  <c r="E204" i="2"/>
  <c r="E205" i="2"/>
  <c r="E200" i="2"/>
  <c r="E207" i="2"/>
  <c r="E202" i="2"/>
  <c r="E203" i="2"/>
  <c r="E55" i="2"/>
  <c r="I52" i="2"/>
  <c r="E50" i="2"/>
  <c r="A48" i="2"/>
  <c r="G54" i="2"/>
  <c r="C52" i="2"/>
  <c r="G49" i="2"/>
  <c r="C54" i="2"/>
  <c r="C56" i="2" s="1" a="1"/>
  <c r="C56" i="2" s="1"/>
  <c r="G51" i="2"/>
  <c r="C49" i="2"/>
  <c r="E51" i="2"/>
  <c r="B54" i="2"/>
  <c r="F51" i="2"/>
  <c r="F56" i="2" s="1" a="1"/>
  <c r="F56" i="2" s="1"/>
  <c r="B49" i="2"/>
  <c r="I53" i="2"/>
  <c r="E54" i="2"/>
  <c r="I50" i="2"/>
  <c r="D54" i="2"/>
  <c r="H53" i="2"/>
  <c r="H50" i="2"/>
  <c r="G53" i="2"/>
  <c r="F50" i="2"/>
  <c r="F53" i="2"/>
  <c r="D50" i="2"/>
  <c r="G50" i="2"/>
  <c r="F54" i="2"/>
  <c r="F49" i="2"/>
  <c r="E49" i="2"/>
  <c r="H52" i="2"/>
  <c r="F52" i="2"/>
  <c r="E52" i="2"/>
  <c r="E56" i="2" s="1" a="1"/>
  <c r="E56" i="2" s="1"/>
  <c r="B52" i="2"/>
  <c r="I55" i="2"/>
  <c r="C51" i="2"/>
  <c r="E53" i="2"/>
  <c r="D53" i="2"/>
  <c r="D56" i="2" s="1" a="1"/>
  <c r="D56" i="2" s="1"/>
  <c r="D49" i="2"/>
  <c r="G52" i="2"/>
  <c r="C53" i="2"/>
  <c r="B53" i="2"/>
  <c r="D52" i="2"/>
  <c r="F55" i="2"/>
  <c r="I51" i="2"/>
  <c r="H55" i="2"/>
  <c r="H51" i="2"/>
  <c r="G55" i="2"/>
  <c r="D51" i="2"/>
  <c r="D55" i="2"/>
  <c r="B51" i="2"/>
  <c r="C55" i="2"/>
  <c r="C50" i="2"/>
  <c r="B55" i="2"/>
  <c r="B56" i="2" s="1" a="1"/>
  <c r="B56" i="2" s="1"/>
  <c r="B50" i="2"/>
  <c r="I54" i="2"/>
  <c r="I49" i="2"/>
  <c r="H54" i="2"/>
  <c r="H49" i="2"/>
  <c r="D112" i="1"/>
  <c r="D109" i="1"/>
  <c r="D108" i="1"/>
  <c r="D114" i="1"/>
  <c r="D111" i="1"/>
  <c r="D110" i="1"/>
  <c r="D113" i="1"/>
  <c r="D107" i="1"/>
  <c r="D64" i="1"/>
  <c r="D73" i="1" s="1"/>
  <c r="D83" i="1" s="1"/>
  <c r="D93" i="1" s="1"/>
  <c r="D103" i="1" s="1"/>
  <c r="B74" i="1"/>
  <c r="D143" i="1"/>
  <c r="B61" i="1"/>
  <c r="L14" i="1" s="1"/>
  <c r="L23" i="1" s="1"/>
  <c r="B84" i="1"/>
  <c r="B94" i="1" s="1"/>
  <c r="B104" i="1" s="1"/>
  <c r="K104" i="1" s="1"/>
  <c r="C62" i="1"/>
  <c r="M15" i="1" s="1"/>
  <c r="M24" i="1" s="1"/>
  <c r="B64" i="1"/>
  <c r="U8" i="1" s="1"/>
  <c r="B63" i="1"/>
  <c r="L16" i="1" s="1"/>
  <c r="L25" i="1" s="1"/>
  <c r="B59" i="1"/>
  <c r="C61" i="1"/>
  <c r="C63" i="1"/>
  <c r="B62" i="1"/>
  <c r="C60" i="1"/>
  <c r="B60" i="1"/>
  <c r="C59" i="1"/>
  <c r="C64" i="1"/>
  <c r="C65" i="1"/>
  <c r="U9" i="1"/>
  <c r="L9" i="1"/>
  <c r="L18" i="1"/>
  <c r="L27" i="1" s="1"/>
  <c r="B205" i="1"/>
  <c r="E48" i="1"/>
  <c r="F48" i="1"/>
  <c r="I48" i="1"/>
  <c r="C48" i="1"/>
  <c r="C58" i="1" s="1"/>
  <c r="B48" i="1"/>
  <c r="B58" i="1" s="1"/>
  <c r="D48" i="1"/>
  <c r="D58" i="1" s="1"/>
  <c r="H48" i="1"/>
  <c r="G48" i="1"/>
  <c r="D60" i="1"/>
  <c r="D69" i="1" s="1"/>
  <c r="D79" i="1" s="1"/>
  <c r="D65" i="1"/>
  <c r="D74" i="1" s="1"/>
  <c r="D63" i="1"/>
  <c r="D72" i="1" s="1"/>
  <c r="D82" i="1" s="1"/>
  <c r="D61" i="1"/>
  <c r="D70" i="1" s="1"/>
  <c r="D80" i="1" s="1"/>
  <c r="D62" i="1"/>
  <c r="D71" i="1" s="1"/>
  <c r="D59" i="1"/>
  <c r="D68" i="1" s="1"/>
  <c r="D78" i="1" s="1"/>
  <c r="E46" i="1" a="1"/>
  <c r="E46" i="1" s="1"/>
  <c r="E56" i="1" a="1"/>
  <c r="E56" i="1" s="1"/>
  <c r="F1" i="1"/>
  <c r="C58" i="2" l="1"/>
  <c r="C59" i="2"/>
  <c r="C60" i="2"/>
  <c r="C62" i="2"/>
  <c r="C63" i="2"/>
  <c r="C61" i="2"/>
  <c r="C64" i="2"/>
  <c r="D63" i="2"/>
  <c r="D59" i="2"/>
  <c r="D60" i="2"/>
  <c r="D61" i="2"/>
  <c r="D62" i="2"/>
  <c r="D58" i="2"/>
  <c r="F58" i="2"/>
  <c r="F59" i="2"/>
  <c r="F60" i="2"/>
  <c r="F61" i="2"/>
  <c r="B61" i="2"/>
  <c r="B58" i="2"/>
  <c r="B60" i="2"/>
  <c r="B59" i="2"/>
  <c r="B64" i="2"/>
  <c r="B63" i="2"/>
  <c r="B62" i="2"/>
  <c r="B65" i="2"/>
  <c r="E61" i="2"/>
  <c r="E62" i="2"/>
  <c r="E60" i="2"/>
  <c r="E58" i="2"/>
  <c r="E59" i="2"/>
  <c r="B80" i="2"/>
  <c r="B79" i="2"/>
  <c r="B83" i="2"/>
  <c r="B81" i="2"/>
  <c r="B82" i="2"/>
  <c r="F128" i="2"/>
  <c r="F138" i="2" s="1"/>
  <c r="F223" i="2" s="1"/>
  <c r="F73" i="2"/>
  <c r="F132" i="2" s="1"/>
  <c r="F142" i="2" s="1"/>
  <c r="F186" i="2" s="1"/>
  <c r="F196" i="2" s="1"/>
  <c r="F71" i="2"/>
  <c r="F130" i="2" s="1"/>
  <c r="F140" i="2" s="1"/>
  <c r="F184" i="2" s="1"/>
  <c r="F194" i="2" s="1"/>
  <c r="F129" i="2"/>
  <c r="F139" i="2" s="1"/>
  <c r="F224" i="2" s="1"/>
  <c r="F74" i="2"/>
  <c r="F133" i="2" s="1"/>
  <c r="F143" i="2" s="1"/>
  <c r="F187" i="2" s="1"/>
  <c r="F197" i="2" s="1"/>
  <c r="F127" i="2"/>
  <c r="F137" i="2" s="1"/>
  <c r="F231" i="2" s="1"/>
  <c r="F72" i="2"/>
  <c r="F131" i="2" s="1"/>
  <c r="F141" i="2" s="1"/>
  <c r="F185" i="2" s="1"/>
  <c r="F195" i="2" s="1"/>
  <c r="B78" i="2"/>
  <c r="B77" i="2"/>
  <c r="I48" i="2"/>
  <c r="B48" i="2"/>
  <c r="B76" i="2" s="1"/>
  <c r="D48" i="2"/>
  <c r="D76" i="2" s="1"/>
  <c r="H48" i="2"/>
  <c r="G48" i="2"/>
  <c r="F48" i="2"/>
  <c r="F126" i="2" s="1"/>
  <c r="F136" i="2" s="1"/>
  <c r="F221" i="2" s="1"/>
  <c r="E48" i="2"/>
  <c r="E76" i="2" s="1"/>
  <c r="C48" i="2"/>
  <c r="C76" i="2" s="1"/>
  <c r="D74" i="2"/>
  <c r="D83" i="2" s="1"/>
  <c r="D78" i="2"/>
  <c r="D79" i="2"/>
  <c r="D73" i="2"/>
  <c r="D82" i="2" s="1"/>
  <c r="D80" i="2"/>
  <c r="D77" i="2"/>
  <c r="D81" i="2"/>
  <c r="E73" i="2"/>
  <c r="E82" i="2" s="1"/>
  <c r="E77" i="2"/>
  <c r="E79" i="2"/>
  <c r="E78" i="2"/>
  <c r="E80" i="2"/>
  <c r="E74" i="2"/>
  <c r="E83" i="2" s="1"/>
  <c r="E72" i="2"/>
  <c r="E81" i="2" s="1"/>
  <c r="C74" i="2"/>
  <c r="C83" i="2" s="1"/>
  <c r="C78" i="2"/>
  <c r="C79" i="2"/>
  <c r="C82" i="2"/>
  <c r="C80" i="2"/>
  <c r="C77" i="2"/>
  <c r="C81" i="2"/>
  <c r="F292" i="2"/>
  <c r="F235" i="2"/>
  <c r="F204" i="2"/>
  <c r="F203" i="2"/>
  <c r="F201" i="2"/>
  <c r="F207" i="2"/>
  <c r="F202" i="2"/>
  <c r="F200" i="2"/>
  <c r="F205" i="2"/>
  <c r="F206" i="2"/>
  <c r="G46" i="2" a="1"/>
  <c r="G46" i="2" s="1"/>
  <c r="H1" i="2"/>
  <c r="G56" i="2" a="1"/>
  <c r="G56" i="2" s="1"/>
  <c r="D134" i="1"/>
  <c r="E112" i="1"/>
  <c r="E109" i="1"/>
  <c r="E114" i="1"/>
  <c r="E111" i="1"/>
  <c r="E108" i="1"/>
  <c r="E110" i="1"/>
  <c r="E113" i="1"/>
  <c r="E107" i="1"/>
  <c r="D178" i="1"/>
  <c r="D89" i="1"/>
  <c r="D99" i="1" s="1"/>
  <c r="D177" i="1"/>
  <c r="D88" i="1"/>
  <c r="D98" i="1" s="1"/>
  <c r="D181" i="1"/>
  <c r="D92" i="1"/>
  <c r="D102" i="1" s="1"/>
  <c r="D179" i="1"/>
  <c r="D90" i="1"/>
  <c r="D100" i="1" s="1"/>
  <c r="M13" i="1"/>
  <c r="M22" i="1" s="1"/>
  <c r="D140" i="1"/>
  <c r="B202" i="1"/>
  <c r="M12" i="1"/>
  <c r="M21" i="1" s="1"/>
  <c r="M14" i="1"/>
  <c r="M23" i="1" s="1"/>
  <c r="D142" i="1"/>
  <c r="C198" i="1"/>
  <c r="B207" i="1" s="1"/>
  <c r="M6" i="1"/>
  <c r="B183" i="1"/>
  <c r="B135" i="1"/>
  <c r="B70" i="1"/>
  <c r="B80" i="1" s="1"/>
  <c r="B90" i="1" s="1"/>
  <c r="B100" i="1" s="1"/>
  <c r="K100" i="1" s="1"/>
  <c r="B201" i="1"/>
  <c r="L5" i="1"/>
  <c r="U5" i="1"/>
  <c r="D130" i="1"/>
  <c r="D129" i="1"/>
  <c r="D133" i="1"/>
  <c r="D139" i="1"/>
  <c r="L13" i="1"/>
  <c r="L22" i="1" s="1"/>
  <c r="B200" i="1"/>
  <c r="L12" i="1"/>
  <c r="L21" i="1" s="1"/>
  <c r="B199" i="1"/>
  <c r="D131" i="1"/>
  <c r="M7" i="1"/>
  <c r="B198" i="1"/>
  <c r="B137" i="1"/>
  <c r="B72" i="1"/>
  <c r="B82" i="1" s="1"/>
  <c r="B92" i="1" s="1"/>
  <c r="B102" i="1" s="1"/>
  <c r="K102" i="1" s="1"/>
  <c r="B203" i="1"/>
  <c r="B73" i="1"/>
  <c r="B83" i="1" s="1"/>
  <c r="B93" i="1" s="1"/>
  <c r="B103" i="1" s="1"/>
  <c r="K103" i="1" s="1"/>
  <c r="B204" i="1"/>
  <c r="C71" i="1"/>
  <c r="C81" i="1" s="1"/>
  <c r="C91" i="1" s="1"/>
  <c r="C101" i="1" s="1"/>
  <c r="D138" i="1"/>
  <c r="C74" i="1"/>
  <c r="C84" i="1" s="1"/>
  <c r="C144" i="1" s="1"/>
  <c r="B144" i="1"/>
  <c r="C202" i="1"/>
  <c r="M17" i="1"/>
  <c r="M26" i="1" s="1"/>
  <c r="M5" i="1"/>
  <c r="C201" i="1"/>
  <c r="C70" i="1"/>
  <c r="D81" i="1"/>
  <c r="D91" i="1" s="1"/>
  <c r="D101" i="1" s="1"/>
  <c r="U7" i="1"/>
  <c r="L7" i="1"/>
  <c r="D84" i="1"/>
  <c r="L17" i="1"/>
  <c r="L26" i="1" s="1"/>
  <c r="U3" i="1"/>
  <c r="L8" i="1"/>
  <c r="L3" i="1"/>
  <c r="B68" i="1"/>
  <c r="C72" i="1"/>
  <c r="M16" i="1"/>
  <c r="M25" i="1" s="1"/>
  <c r="C68" i="1"/>
  <c r="M3" i="1"/>
  <c r="N15" i="1"/>
  <c r="N24" i="1" s="1"/>
  <c r="D202" i="1"/>
  <c r="C73" i="1"/>
  <c r="M8" i="1"/>
  <c r="C200" i="1"/>
  <c r="D203" i="1"/>
  <c r="N14" i="1"/>
  <c r="N23" i="1" s="1"/>
  <c r="M11" i="1"/>
  <c r="M20" i="1" s="1"/>
  <c r="M4" i="1"/>
  <c r="N5" i="1"/>
  <c r="D201" i="1"/>
  <c r="C210" i="1" s="1"/>
  <c r="U4" i="1"/>
  <c r="N16" i="1"/>
  <c r="N25" i="1" s="1"/>
  <c r="B69" i="1"/>
  <c r="C204" i="1"/>
  <c r="U6" i="1"/>
  <c r="L6" i="1"/>
  <c r="C69" i="1"/>
  <c r="B71" i="1"/>
  <c r="L15" i="1"/>
  <c r="L24" i="1" s="1"/>
  <c r="L4" i="1"/>
  <c r="C199" i="1"/>
  <c r="C203" i="1"/>
  <c r="D67" i="1"/>
  <c r="D198" i="1"/>
  <c r="N2" i="1"/>
  <c r="N11" i="1"/>
  <c r="N20" i="1" s="1"/>
  <c r="M2" i="1"/>
  <c r="N4" i="1"/>
  <c r="D200" i="1"/>
  <c r="N13" i="1"/>
  <c r="N22" i="1" s="1"/>
  <c r="N3" i="1"/>
  <c r="C67" i="1"/>
  <c r="U2" i="1"/>
  <c r="L2" i="1"/>
  <c r="B67" i="1"/>
  <c r="L11" i="1"/>
  <c r="L20" i="1" s="1"/>
  <c r="D199" i="1"/>
  <c r="N7" i="1"/>
  <c r="N6" i="1"/>
  <c r="N12" i="1"/>
  <c r="N21" i="1" s="1"/>
  <c r="E64" i="1"/>
  <c r="E73" i="1" s="1"/>
  <c r="E83" i="1" s="1"/>
  <c r="E59" i="1"/>
  <c r="E68" i="1" s="1"/>
  <c r="E78" i="1" s="1"/>
  <c r="E129" i="1" s="1"/>
  <c r="E61" i="1"/>
  <c r="E70" i="1" s="1"/>
  <c r="E80" i="1" s="1"/>
  <c r="E58" i="1"/>
  <c r="O11" i="1" s="1"/>
  <c r="E63" i="1"/>
  <c r="E72" i="1" s="1"/>
  <c r="E82" i="1" s="1"/>
  <c r="E65" i="1"/>
  <c r="E74" i="1" s="1"/>
  <c r="E60" i="1"/>
  <c r="O4" i="1" s="1"/>
  <c r="E62" i="1"/>
  <c r="E71" i="1" s="1"/>
  <c r="E81" i="1" s="1"/>
  <c r="F46" i="1" a="1"/>
  <c r="F46" i="1" s="1"/>
  <c r="F56" i="1" a="1"/>
  <c r="F56" i="1" s="1"/>
  <c r="G1" i="1"/>
  <c r="F237" i="2" l="1"/>
  <c r="F234" i="2"/>
  <c r="G60" i="2"/>
  <c r="G58" i="2"/>
  <c r="G59" i="2"/>
  <c r="F228" i="2"/>
  <c r="F83" i="2"/>
  <c r="F82" i="2"/>
  <c r="F80" i="2"/>
  <c r="F225" i="2"/>
  <c r="F79" i="2"/>
  <c r="F78" i="2"/>
  <c r="F236" i="2"/>
  <c r="F222" i="2"/>
  <c r="F77" i="2"/>
  <c r="G80" i="2"/>
  <c r="F76" i="2"/>
  <c r="F227" i="2"/>
  <c r="F81" i="2"/>
  <c r="B126" i="2"/>
  <c r="B136" i="2" s="1"/>
  <c r="B210" i="2" s="1"/>
  <c r="B291" i="2"/>
  <c r="B230" i="2"/>
  <c r="C126" i="2"/>
  <c r="C136" i="2" s="1"/>
  <c r="C230" i="2" s="1"/>
  <c r="C291" i="2"/>
  <c r="C132" i="2"/>
  <c r="C142" i="2" s="1"/>
  <c r="C297" i="2"/>
  <c r="E131" i="2"/>
  <c r="E141" i="2" s="1"/>
  <c r="D126" i="2"/>
  <c r="D136" i="2" s="1"/>
  <c r="D291" i="2"/>
  <c r="D230" i="2"/>
  <c r="F230" i="2"/>
  <c r="C133" i="2"/>
  <c r="C143" i="2" s="1"/>
  <c r="G71" i="2"/>
  <c r="G130" i="2" s="1"/>
  <c r="G140" i="2" s="1"/>
  <c r="G184" i="2" s="1"/>
  <c r="G194" i="2" s="1"/>
  <c r="G72" i="2"/>
  <c r="G131" i="2" s="1"/>
  <c r="G141" i="2" s="1"/>
  <c r="G185" i="2" s="1"/>
  <c r="G195" i="2" s="1"/>
  <c r="G126" i="2"/>
  <c r="G136" i="2" s="1"/>
  <c r="G221" i="2" s="1"/>
  <c r="G73" i="2"/>
  <c r="G132" i="2" s="1"/>
  <c r="G142" i="2" s="1"/>
  <c r="G186" i="2" s="1"/>
  <c r="G196" i="2" s="1"/>
  <c r="G128" i="2"/>
  <c r="G138" i="2" s="1"/>
  <c r="G223" i="2" s="1"/>
  <c r="G70" i="2"/>
  <c r="G129" i="2" s="1"/>
  <c r="G139" i="2" s="1"/>
  <c r="G183" i="2" s="1"/>
  <c r="G193" i="2" s="1"/>
  <c r="G74" i="2"/>
  <c r="G133" i="2" s="1"/>
  <c r="G143" i="2" s="1"/>
  <c r="G187" i="2" s="1"/>
  <c r="G197" i="2" s="1"/>
  <c r="G127" i="2"/>
  <c r="G137" i="2" s="1"/>
  <c r="G222" i="2" s="1"/>
  <c r="F293" i="2"/>
  <c r="E133" i="2"/>
  <c r="E143" i="2" s="1"/>
  <c r="E237" i="2" s="1"/>
  <c r="F291" i="2"/>
  <c r="E127" i="2"/>
  <c r="E137" i="2" s="1"/>
  <c r="E249" i="2" s="1"/>
  <c r="E292" i="2"/>
  <c r="E301" i="2" s="1"/>
  <c r="D127" i="2"/>
  <c r="D137" i="2" s="1"/>
  <c r="D231" i="2" s="1"/>
  <c r="D292" i="2"/>
  <c r="I1" i="2"/>
  <c r="H46" i="2" a="1"/>
  <c r="H46" i="2" s="1"/>
  <c r="H56" i="2" a="1"/>
  <c r="H56" i="2" s="1"/>
  <c r="F233" i="2"/>
  <c r="E130" i="2"/>
  <c r="E140" i="2" s="1"/>
  <c r="E234" i="2" s="1"/>
  <c r="E295" i="2"/>
  <c r="F294" i="2"/>
  <c r="G207" i="2"/>
  <c r="G202" i="2"/>
  <c r="G206" i="2"/>
  <c r="G203" i="2"/>
  <c r="G205" i="2"/>
  <c r="G200" i="2"/>
  <c r="G201" i="2"/>
  <c r="G204" i="2"/>
  <c r="E126" i="2"/>
  <c r="E136" i="2" s="1"/>
  <c r="E291" i="2"/>
  <c r="B127" i="2"/>
  <c r="B137" i="2" s="1"/>
  <c r="B292" i="2"/>
  <c r="B231" i="2"/>
  <c r="E132" i="2"/>
  <c r="E142" i="2" s="1"/>
  <c r="E236" i="2" s="1"/>
  <c r="E128" i="2"/>
  <c r="E138" i="2" s="1"/>
  <c r="E250" i="2" s="1"/>
  <c r="E293" i="2"/>
  <c r="E129" i="2"/>
  <c r="E139" i="2" s="1"/>
  <c r="E251" i="2" s="1"/>
  <c r="E294" i="2"/>
  <c r="B133" i="2"/>
  <c r="B143" i="2" s="1"/>
  <c r="B237" i="2" s="1"/>
  <c r="B298" i="2"/>
  <c r="B293" i="2"/>
  <c r="B128" i="2"/>
  <c r="B138" i="2" s="1"/>
  <c r="B129" i="2"/>
  <c r="B139" i="2" s="1"/>
  <c r="B233" i="2" s="1"/>
  <c r="B294" i="2"/>
  <c r="D296" i="2"/>
  <c r="D131" i="2"/>
  <c r="D141" i="2" s="1"/>
  <c r="B295" i="2"/>
  <c r="B130" i="2"/>
  <c r="B140" i="2" s="1"/>
  <c r="B234" i="2" s="1"/>
  <c r="D130" i="2"/>
  <c r="D140" i="2" s="1"/>
  <c r="D295" i="2"/>
  <c r="B131" i="2"/>
  <c r="B141" i="2" s="1"/>
  <c r="B215" i="2" s="1"/>
  <c r="B296" i="2"/>
  <c r="B297" i="2"/>
  <c r="B132" i="2"/>
  <c r="B142" i="2" s="1"/>
  <c r="F180" i="2"/>
  <c r="F190" i="2" s="1"/>
  <c r="F111" i="2"/>
  <c r="C127" i="2"/>
  <c r="C137" i="2" s="1"/>
  <c r="C292" i="2"/>
  <c r="D129" i="2"/>
  <c r="D139" i="2" s="1"/>
  <c r="D294" i="2"/>
  <c r="D128" i="2"/>
  <c r="D138" i="2" s="1"/>
  <c r="D232" i="2"/>
  <c r="D293" i="2"/>
  <c r="F181" i="2"/>
  <c r="F191" i="2" s="1"/>
  <c r="F112" i="2"/>
  <c r="C131" i="2"/>
  <c r="C141" i="2" s="1"/>
  <c r="C215" i="2" s="1"/>
  <c r="C296" i="2"/>
  <c r="D132" i="2"/>
  <c r="D142" i="2" s="1"/>
  <c r="D236" i="2" s="1"/>
  <c r="F232" i="2"/>
  <c r="C130" i="2"/>
  <c r="C140" i="2" s="1"/>
  <c r="C234" i="2" s="1"/>
  <c r="C295" i="2"/>
  <c r="F226" i="2"/>
  <c r="D133" i="2"/>
  <c r="D143" i="2" s="1"/>
  <c r="F183" i="2"/>
  <c r="F193" i="2" s="1"/>
  <c r="F114" i="2"/>
  <c r="C129" i="2"/>
  <c r="C139" i="2" s="1"/>
  <c r="C294" i="2"/>
  <c r="C128" i="2"/>
  <c r="C138" i="2" s="1"/>
  <c r="C232" i="2" s="1"/>
  <c r="C293" i="2"/>
  <c r="F182" i="2"/>
  <c r="F192" i="2" s="1"/>
  <c r="F113" i="2"/>
  <c r="F114" i="1"/>
  <c r="F109" i="1"/>
  <c r="F108" i="1"/>
  <c r="F111" i="1"/>
  <c r="F107" i="1"/>
  <c r="F110" i="1"/>
  <c r="F113" i="1"/>
  <c r="F112" i="1"/>
  <c r="C211" i="1"/>
  <c r="B143" i="1"/>
  <c r="C207" i="1"/>
  <c r="B210" i="1"/>
  <c r="B211" i="1"/>
  <c r="C141" i="1"/>
  <c r="E180" i="1"/>
  <c r="E91" i="1"/>
  <c r="E101" i="1" s="1"/>
  <c r="C135" i="1"/>
  <c r="C94" i="1"/>
  <c r="C104" i="1" s="1"/>
  <c r="E132" i="1"/>
  <c r="D135" i="1"/>
  <c r="D94" i="1"/>
  <c r="D104" i="1" s="1"/>
  <c r="E141" i="1"/>
  <c r="E133" i="1"/>
  <c r="E92" i="1"/>
  <c r="E102" i="1" s="1"/>
  <c r="E179" i="1"/>
  <c r="D188" i="1" s="1"/>
  <c r="E90" i="1"/>
  <c r="E100" i="1" s="1"/>
  <c r="E138" i="1"/>
  <c r="E177" i="1"/>
  <c r="D186" i="1" s="1"/>
  <c r="E88" i="1"/>
  <c r="E98" i="1" s="1"/>
  <c r="B212" i="1"/>
  <c r="E134" i="1"/>
  <c r="E93" i="1"/>
  <c r="E103" i="1" s="1"/>
  <c r="B140" i="1"/>
  <c r="D161" i="1"/>
  <c r="D170" i="1" s="1"/>
  <c r="B133" i="1"/>
  <c r="B181" i="1"/>
  <c r="B134" i="1"/>
  <c r="D160" i="1"/>
  <c r="D169" i="1" s="1"/>
  <c r="B162" i="1"/>
  <c r="B171" i="1" s="1"/>
  <c r="D180" i="1"/>
  <c r="D132" i="1"/>
  <c r="D158" i="1"/>
  <c r="D167" i="1" s="1"/>
  <c r="C180" i="1"/>
  <c r="C132" i="1"/>
  <c r="C162" i="1"/>
  <c r="C171" i="1" s="1"/>
  <c r="B142" i="1"/>
  <c r="E131" i="1"/>
  <c r="E140" i="1"/>
  <c r="E142" i="1"/>
  <c r="D144" i="1"/>
  <c r="E143" i="1"/>
  <c r="C159" i="1"/>
  <c r="B213" i="1"/>
  <c r="D156" i="1"/>
  <c r="D165" i="1" s="1"/>
  <c r="D159" i="1"/>
  <c r="B179" i="1"/>
  <c r="B131" i="1"/>
  <c r="E144" i="1"/>
  <c r="D162" i="1"/>
  <c r="D141" i="1"/>
  <c r="B208" i="1"/>
  <c r="B79" i="1"/>
  <c r="B89" i="1" s="1"/>
  <c r="B99" i="1" s="1"/>
  <c r="K99" i="1" s="1"/>
  <c r="B78" i="1"/>
  <c r="B88" i="1" s="1"/>
  <c r="B98" i="1" s="1"/>
  <c r="K98" i="1" s="1"/>
  <c r="D77" i="1"/>
  <c r="D87" i="1" s="1"/>
  <c r="D97" i="1" s="1"/>
  <c r="C189" i="1"/>
  <c r="B81" i="1"/>
  <c r="B91" i="1" s="1"/>
  <c r="B101" i="1" s="1"/>
  <c r="K101" i="1" s="1"/>
  <c r="C83" i="1"/>
  <c r="C93" i="1" s="1"/>
  <c r="C103" i="1" s="1"/>
  <c r="B77" i="1"/>
  <c r="B87" i="1" s="1"/>
  <c r="B97" i="1" s="1"/>
  <c r="K97" i="1" s="1"/>
  <c r="C78" i="1"/>
  <c r="C88" i="1" s="1"/>
  <c r="C98" i="1" s="1"/>
  <c r="C77" i="1"/>
  <c r="C87" i="1" s="1"/>
  <c r="C97" i="1" s="1"/>
  <c r="C79" i="1"/>
  <c r="C89" i="1" s="1"/>
  <c r="C99" i="1" s="1"/>
  <c r="C82" i="1"/>
  <c r="C92" i="1" s="1"/>
  <c r="C102" i="1" s="1"/>
  <c r="E84" i="1"/>
  <c r="C80" i="1"/>
  <c r="C90" i="1" s="1"/>
  <c r="C100" i="1" s="1"/>
  <c r="C209" i="1"/>
  <c r="C208" i="1"/>
  <c r="B209" i="1"/>
  <c r="E199" i="1"/>
  <c r="D208" i="1" s="1"/>
  <c r="O14" i="1"/>
  <c r="O23" i="1" s="1"/>
  <c r="C212" i="1"/>
  <c r="O3" i="1"/>
  <c r="O2" i="1"/>
  <c r="O13" i="1"/>
  <c r="O22" i="1" s="1"/>
  <c r="O6" i="1"/>
  <c r="E202" i="1"/>
  <c r="D211" i="1" s="1"/>
  <c r="E200" i="1"/>
  <c r="D209" i="1" s="1"/>
  <c r="E69" i="1"/>
  <c r="E201" i="1"/>
  <c r="D210" i="1" s="1"/>
  <c r="E198" i="1"/>
  <c r="D207" i="1" s="1"/>
  <c r="E67" i="1"/>
  <c r="O5" i="1"/>
  <c r="O12" i="1"/>
  <c r="O21" i="1" s="1"/>
  <c r="G46" i="1" a="1"/>
  <c r="G46" i="1" s="1"/>
  <c r="G56" i="1" a="1"/>
  <c r="G56" i="1" s="1"/>
  <c r="F64" i="1"/>
  <c r="F59" i="1"/>
  <c r="P12" i="1" s="1"/>
  <c r="F61" i="1"/>
  <c r="P5" i="1" s="1"/>
  <c r="F58" i="1"/>
  <c r="F63" i="1"/>
  <c r="F72" i="1" s="1"/>
  <c r="F82" i="1" s="1"/>
  <c r="F65" i="1"/>
  <c r="F74" i="1" s="1"/>
  <c r="F60" i="1"/>
  <c r="F69" i="1" s="1"/>
  <c r="F79" i="1" s="1"/>
  <c r="F62" i="1"/>
  <c r="F71" i="1" s="1"/>
  <c r="O15" i="1"/>
  <c r="O24" i="1" s="1"/>
  <c r="O20" i="1"/>
  <c r="H1" i="1"/>
  <c r="G76" i="2" l="1"/>
  <c r="H58" i="2"/>
  <c r="H59" i="2"/>
  <c r="B249" i="2"/>
  <c r="B258" i="2" s="1"/>
  <c r="D248" i="2"/>
  <c r="D257" i="2" s="1"/>
  <c r="C248" i="2"/>
  <c r="C257" i="2" s="1"/>
  <c r="B300" i="2"/>
  <c r="B301" i="2"/>
  <c r="B248" i="2"/>
  <c r="B257" i="2" s="1"/>
  <c r="D254" i="2"/>
  <c r="D263" i="2" s="1"/>
  <c r="D250" i="2"/>
  <c r="D259" i="2" s="1"/>
  <c r="B251" i="2"/>
  <c r="B260" i="2" s="1"/>
  <c r="B254" i="2"/>
  <c r="B235" i="2"/>
  <c r="B306" i="2"/>
  <c r="G79" i="2"/>
  <c r="C302" i="2"/>
  <c r="H76" i="2"/>
  <c r="G81" i="2"/>
  <c r="G78" i="2"/>
  <c r="C255" i="2"/>
  <c r="E232" i="2"/>
  <c r="E259" i="2" s="1"/>
  <c r="G82" i="2"/>
  <c r="G83" i="2"/>
  <c r="G77" i="2"/>
  <c r="G234" i="2"/>
  <c r="F252" i="2"/>
  <c r="F261" i="2" s="1"/>
  <c r="C252" i="2"/>
  <c r="C261" i="2" s="1"/>
  <c r="B305" i="2"/>
  <c r="F254" i="2"/>
  <c r="F263" i="2" s="1"/>
  <c r="G293" i="2"/>
  <c r="F302" i="2" s="1"/>
  <c r="G225" i="2"/>
  <c r="C233" i="2"/>
  <c r="G237" i="2"/>
  <c r="F255" i="2"/>
  <c r="F264" i="2" s="1"/>
  <c r="G291" i="2"/>
  <c r="F300" i="2" s="1"/>
  <c r="B252" i="2"/>
  <c r="B261" i="2" s="1"/>
  <c r="G227" i="2"/>
  <c r="G233" i="2"/>
  <c r="F251" i="2"/>
  <c r="F260" i="2" s="1"/>
  <c r="C300" i="2"/>
  <c r="G235" i="2"/>
  <c r="B214" i="2"/>
  <c r="G226" i="2"/>
  <c r="E230" i="2"/>
  <c r="G231" i="2"/>
  <c r="C251" i="2"/>
  <c r="G228" i="2"/>
  <c r="E303" i="2"/>
  <c r="C254" i="2"/>
  <c r="C231" i="2"/>
  <c r="D234" i="2"/>
  <c r="D302" i="2"/>
  <c r="D300" i="2"/>
  <c r="G230" i="2"/>
  <c r="F253" i="2"/>
  <c r="F262" i="2" s="1"/>
  <c r="C249" i="2"/>
  <c r="C258" i="2" s="1"/>
  <c r="B304" i="2"/>
  <c r="C303" i="2"/>
  <c r="B253" i="2"/>
  <c r="G224" i="2"/>
  <c r="D253" i="2"/>
  <c r="E184" i="2"/>
  <c r="E194" i="2" s="1"/>
  <c r="E115" i="2"/>
  <c r="E225" i="2"/>
  <c r="H71" i="2"/>
  <c r="H130" i="2" s="1"/>
  <c r="H140" i="2" s="1"/>
  <c r="H184" i="2" s="1"/>
  <c r="H194" i="2" s="1"/>
  <c r="H72" i="2"/>
  <c r="H131" i="2" s="1"/>
  <c r="H141" i="2" s="1"/>
  <c r="H185" i="2" s="1"/>
  <c r="H195" i="2" s="1"/>
  <c r="H126" i="2"/>
  <c r="H136" i="2" s="1"/>
  <c r="H69" i="2"/>
  <c r="H128" i="2" s="1"/>
  <c r="H138" i="2" s="1"/>
  <c r="H182" i="2" s="1"/>
  <c r="H192" i="2" s="1"/>
  <c r="H70" i="2"/>
  <c r="H129" i="2" s="1"/>
  <c r="H139" i="2" s="1"/>
  <c r="H183" i="2" s="1"/>
  <c r="H193" i="2" s="1"/>
  <c r="H74" i="2"/>
  <c r="H133" i="2" s="1"/>
  <c r="H143" i="2" s="1"/>
  <c r="H187" i="2" s="1"/>
  <c r="H197" i="2" s="1"/>
  <c r="H127" i="2"/>
  <c r="H137" i="2" s="1"/>
  <c r="G249" i="2" s="1"/>
  <c r="G258" i="2" s="1"/>
  <c r="H73" i="2"/>
  <c r="H132" i="2" s="1"/>
  <c r="H142" i="2" s="1"/>
  <c r="H186" i="2" s="1"/>
  <c r="H196" i="2" s="1"/>
  <c r="E300" i="2"/>
  <c r="D183" i="2"/>
  <c r="D193" i="2" s="1"/>
  <c r="D224" i="2"/>
  <c r="D114" i="2"/>
  <c r="I46" i="2" a="1"/>
  <c r="I46" i="2" s="1"/>
  <c r="I56" i="2" a="1"/>
  <c r="I56" i="2" s="1"/>
  <c r="I58" i="2" s="1"/>
  <c r="B113" i="2"/>
  <c r="B182" i="2"/>
  <c r="B192" i="2" s="1"/>
  <c r="K192" i="2" s="1"/>
  <c r="B223" i="2"/>
  <c r="G181" i="2"/>
  <c r="G191" i="2" s="1"/>
  <c r="G112" i="2"/>
  <c r="F279" i="2" s="1"/>
  <c r="C180" i="2"/>
  <c r="C190" i="2" s="1"/>
  <c r="C111" i="2"/>
  <c r="C221" i="2"/>
  <c r="B232" i="2"/>
  <c r="E111" i="2"/>
  <c r="E180" i="2"/>
  <c r="E190" i="2" s="1"/>
  <c r="E221" i="2"/>
  <c r="C305" i="2"/>
  <c r="C228" i="2"/>
  <c r="C187" i="2"/>
  <c r="C197" i="2" s="1"/>
  <c r="D255" i="2"/>
  <c r="E302" i="2"/>
  <c r="D185" i="2"/>
  <c r="D195" i="2" s="1"/>
  <c r="D116" i="2"/>
  <c r="D226" i="2"/>
  <c r="B250" i="2"/>
  <c r="E113" i="2"/>
  <c r="E280" i="2" s="1"/>
  <c r="E182" i="2"/>
  <c r="E192" i="2" s="1"/>
  <c r="E223" i="2"/>
  <c r="B302" i="2"/>
  <c r="E186" i="2"/>
  <c r="E196" i="2" s="1"/>
  <c r="E227" i="2"/>
  <c r="F249" i="2"/>
  <c r="F258" i="2" s="1"/>
  <c r="D180" i="2"/>
  <c r="D190" i="2" s="1"/>
  <c r="D221" i="2"/>
  <c r="D111" i="2"/>
  <c r="C278" i="2" s="1"/>
  <c r="C182" i="2"/>
  <c r="C192" i="2" s="1"/>
  <c r="C223" i="2"/>
  <c r="C113" i="2"/>
  <c r="G292" i="2"/>
  <c r="F301" i="2" s="1"/>
  <c r="G182" i="2"/>
  <c r="G192" i="2" s="1"/>
  <c r="G113" i="2"/>
  <c r="F280" i="2" s="1"/>
  <c r="E235" i="2"/>
  <c r="B255" i="2"/>
  <c r="B264" i="2" s="1"/>
  <c r="E181" i="2"/>
  <c r="E191" i="2" s="1"/>
  <c r="E112" i="2"/>
  <c r="E222" i="2"/>
  <c r="D237" i="2"/>
  <c r="E187" i="2"/>
  <c r="E197" i="2" s="1"/>
  <c r="E228" i="2"/>
  <c r="E255" i="2"/>
  <c r="E264" i="2" s="1"/>
  <c r="C253" i="2"/>
  <c r="D235" i="2"/>
  <c r="C304" i="2"/>
  <c r="D228" i="2"/>
  <c r="D187" i="2"/>
  <c r="D197" i="2" s="1"/>
  <c r="G248" i="2"/>
  <c r="H230" i="2"/>
  <c r="G250" i="2"/>
  <c r="G259" i="2" s="1"/>
  <c r="H232" i="2"/>
  <c r="G254" i="2"/>
  <c r="G263" i="2" s="1"/>
  <c r="H292" i="2"/>
  <c r="G301" i="2" s="1"/>
  <c r="H201" i="2"/>
  <c r="H206" i="2"/>
  <c r="H203" i="2"/>
  <c r="H202" i="2"/>
  <c r="H207" i="2"/>
  <c r="H204" i="2"/>
  <c r="H200" i="2"/>
  <c r="H205" i="2"/>
  <c r="B185" i="2"/>
  <c r="B195" i="2" s="1"/>
  <c r="K195" i="2" s="1"/>
  <c r="B226" i="2"/>
  <c r="B116" i="2"/>
  <c r="B212" i="2"/>
  <c r="B118" i="2"/>
  <c r="B187" i="2"/>
  <c r="B197" i="2" s="1"/>
  <c r="K197" i="2" s="1"/>
  <c r="B228" i="2"/>
  <c r="D184" i="2"/>
  <c r="D194" i="2" s="1"/>
  <c r="D115" i="2"/>
  <c r="D225" i="2"/>
  <c r="E185" i="2"/>
  <c r="E195" i="2" s="1"/>
  <c r="E226" i="2"/>
  <c r="E253" i="2"/>
  <c r="E252" i="2"/>
  <c r="E261" i="2" s="1"/>
  <c r="B114" i="2"/>
  <c r="B183" i="2"/>
  <c r="B193" i="2" s="1"/>
  <c r="K193" i="2" s="1"/>
  <c r="B224" i="2"/>
  <c r="D301" i="2"/>
  <c r="E114" i="2"/>
  <c r="E183" i="2"/>
  <c r="E193" i="2" s="1"/>
  <c r="E224" i="2"/>
  <c r="C227" i="2"/>
  <c r="C117" i="2"/>
  <c r="C186" i="2"/>
  <c r="C196" i="2" s="1"/>
  <c r="C301" i="2"/>
  <c r="D182" i="2"/>
  <c r="D192" i="2" s="1"/>
  <c r="D113" i="2"/>
  <c r="D223" i="2"/>
  <c r="G111" i="2"/>
  <c r="F278" i="2" s="1"/>
  <c r="G180" i="2"/>
  <c r="G190" i="2" s="1"/>
  <c r="C250" i="2"/>
  <c r="C259" i="2" s="1"/>
  <c r="D214" i="2"/>
  <c r="D251" i="2"/>
  <c r="B181" i="2"/>
  <c r="B191" i="2" s="1"/>
  <c r="K191" i="2" s="1"/>
  <c r="B112" i="2"/>
  <c r="B222" i="2"/>
  <c r="G232" i="2"/>
  <c r="D252" i="2"/>
  <c r="E248" i="2"/>
  <c r="D186" i="2"/>
  <c r="D196" i="2" s="1"/>
  <c r="D227" i="2"/>
  <c r="B213" i="2"/>
  <c r="D303" i="2"/>
  <c r="G236" i="2"/>
  <c r="F250" i="2"/>
  <c r="F259" i="2" s="1"/>
  <c r="E231" i="2"/>
  <c r="E258" i="2" s="1"/>
  <c r="C236" i="2"/>
  <c r="C185" i="2"/>
  <c r="C195" i="2" s="1"/>
  <c r="C226" i="2"/>
  <c r="C116" i="2"/>
  <c r="C181" i="2"/>
  <c r="C191" i="2" s="1"/>
  <c r="C112" i="2"/>
  <c r="C222" i="2"/>
  <c r="C184" i="2"/>
  <c r="C194" i="2" s="1"/>
  <c r="C225" i="2"/>
  <c r="C115" i="2"/>
  <c r="B186" i="2"/>
  <c r="B196" i="2" s="1"/>
  <c r="K196" i="2" s="1"/>
  <c r="B227" i="2"/>
  <c r="J275" i="2"/>
  <c r="B117" i="2"/>
  <c r="B236" i="2"/>
  <c r="D181" i="2"/>
  <c r="D191" i="2" s="1"/>
  <c r="D222" i="2"/>
  <c r="D112" i="2"/>
  <c r="D304" i="2"/>
  <c r="B180" i="2"/>
  <c r="B190" i="2" s="1"/>
  <c r="K190" i="2" s="1"/>
  <c r="B111" i="2"/>
  <c r="B221" i="2"/>
  <c r="B184" i="2"/>
  <c r="B194" i="2" s="1"/>
  <c r="K194" i="2" s="1"/>
  <c r="B115" i="2"/>
  <c r="B225" i="2"/>
  <c r="B303" i="2"/>
  <c r="C183" i="2"/>
  <c r="C193" i="2" s="1"/>
  <c r="C114" i="2"/>
  <c r="C224" i="2"/>
  <c r="C235" i="2"/>
  <c r="D233" i="2"/>
  <c r="B216" i="2"/>
  <c r="E233" i="2"/>
  <c r="E260" i="2" s="1"/>
  <c r="B211" i="2"/>
  <c r="F248" i="2"/>
  <c r="F257" i="2" s="1"/>
  <c r="D249" i="2"/>
  <c r="D258" i="2" s="1"/>
  <c r="C237" i="2"/>
  <c r="E254" i="2"/>
  <c r="E263" i="2" s="1"/>
  <c r="G107" i="1"/>
  <c r="G111" i="1"/>
  <c r="G114" i="1"/>
  <c r="G112" i="1"/>
  <c r="G108" i="1"/>
  <c r="G109" i="1"/>
  <c r="G113" i="1"/>
  <c r="G110" i="1"/>
  <c r="C168" i="1"/>
  <c r="F139" i="1"/>
  <c r="F133" i="1"/>
  <c r="F92" i="1"/>
  <c r="F102" i="1" s="1"/>
  <c r="F178" i="1"/>
  <c r="F89" i="1"/>
  <c r="F99" i="1" s="1"/>
  <c r="E135" i="1"/>
  <c r="E94" i="1"/>
  <c r="E104" i="1" s="1"/>
  <c r="F130" i="1"/>
  <c r="B177" i="1"/>
  <c r="B129" i="1"/>
  <c r="B138" i="1"/>
  <c r="B165" i="1" s="1"/>
  <c r="B216" i="1"/>
  <c r="E160" i="1"/>
  <c r="E169" i="1" s="1"/>
  <c r="F142" i="1"/>
  <c r="B178" i="1"/>
  <c r="B130" i="1"/>
  <c r="B139" i="1"/>
  <c r="C179" i="1"/>
  <c r="C131" i="1"/>
  <c r="B158" i="1"/>
  <c r="B167" i="1" s="1"/>
  <c r="C158" i="1"/>
  <c r="C140" i="1"/>
  <c r="C181" i="1"/>
  <c r="C133" i="1"/>
  <c r="C142" i="1"/>
  <c r="B160" i="1"/>
  <c r="B169" i="1" s="1"/>
  <c r="C160" i="1"/>
  <c r="C169" i="1" s="1"/>
  <c r="C178" i="1"/>
  <c r="C187" i="1" s="1"/>
  <c r="C130" i="1"/>
  <c r="C139" i="1"/>
  <c r="B157" i="1"/>
  <c r="C157" i="1"/>
  <c r="C176" i="1"/>
  <c r="C128" i="1"/>
  <c r="B155" i="1"/>
  <c r="B164" i="1" s="1"/>
  <c r="C137" i="1"/>
  <c r="C177" i="1"/>
  <c r="C186" i="1" s="1"/>
  <c r="C129" i="1"/>
  <c r="C138" i="1"/>
  <c r="C156" i="1"/>
  <c r="B156" i="1"/>
  <c r="B128" i="1"/>
  <c r="B176" i="1"/>
  <c r="L38" i="1"/>
  <c r="B180" i="1"/>
  <c r="B189" i="1" s="1"/>
  <c r="B132" i="1"/>
  <c r="B159" i="1"/>
  <c r="B141" i="1"/>
  <c r="D176" i="1"/>
  <c r="D137" i="1"/>
  <c r="C155" i="1"/>
  <c r="D128" i="1"/>
  <c r="C182" i="1"/>
  <c r="B191" i="1" s="1"/>
  <c r="C134" i="1"/>
  <c r="C161" i="1"/>
  <c r="C143" i="1"/>
  <c r="B161" i="1"/>
  <c r="B170" i="1" s="1"/>
  <c r="D171" i="1"/>
  <c r="E77" i="1"/>
  <c r="E87" i="1" s="1"/>
  <c r="E97" i="1" s="1"/>
  <c r="E79" i="1"/>
  <c r="E89" i="1" s="1"/>
  <c r="E99" i="1" s="1"/>
  <c r="C216" i="1"/>
  <c r="F81" i="1"/>
  <c r="F91" i="1" s="1"/>
  <c r="F101" i="1" s="1"/>
  <c r="F84" i="1"/>
  <c r="F94" i="1" s="1"/>
  <c r="F104" i="1" s="1"/>
  <c r="D189" i="1"/>
  <c r="D168" i="1"/>
  <c r="D216" i="1"/>
  <c r="P3" i="1"/>
  <c r="P14" i="1"/>
  <c r="P23" i="1" s="1"/>
  <c r="F67" i="1"/>
  <c r="F77" i="1" s="1"/>
  <c r="F87" i="1" s="1"/>
  <c r="F97" i="1" s="1"/>
  <c r="F199" i="1"/>
  <c r="E208" i="1" s="1"/>
  <c r="F68" i="1"/>
  <c r="F70" i="1"/>
  <c r="F198" i="1"/>
  <c r="E207" i="1" s="1"/>
  <c r="P4" i="1"/>
  <c r="P21" i="1"/>
  <c r="F73" i="1"/>
  <c r="P11" i="1"/>
  <c r="P20" i="1" s="1"/>
  <c r="H46" i="1" a="1"/>
  <c r="H46" i="1" s="1"/>
  <c r="H56" i="1" a="1"/>
  <c r="H56" i="1" s="1"/>
  <c r="P13" i="1"/>
  <c r="P22" i="1" s="1"/>
  <c r="F201" i="1"/>
  <c r="E210" i="1" s="1"/>
  <c r="F200" i="1"/>
  <c r="E209" i="1" s="1"/>
  <c r="G64" i="1"/>
  <c r="G73" i="1" s="1"/>
  <c r="G83" i="1" s="1"/>
  <c r="G59" i="1"/>
  <c r="G68" i="1" s="1"/>
  <c r="G61" i="1"/>
  <c r="G70" i="1" s="1"/>
  <c r="G58" i="1"/>
  <c r="G63" i="1"/>
  <c r="G72" i="1" s="1"/>
  <c r="G65" i="1"/>
  <c r="G74" i="1" s="1"/>
  <c r="G84" i="1" s="1"/>
  <c r="G94" i="1" s="1"/>
  <c r="G104" i="1" s="1"/>
  <c r="G60" i="1"/>
  <c r="G62" i="1"/>
  <c r="G71" i="1" s="1"/>
  <c r="P2" i="1"/>
  <c r="I1" i="1"/>
  <c r="C282" i="2" l="1"/>
  <c r="C280" i="2"/>
  <c r="B263" i="2"/>
  <c r="C263" i="2"/>
  <c r="B262" i="2"/>
  <c r="F309" i="2"/>
  <c r="H83" i="2"/>
  <c r="C264" i="2"/>
  <c r="H231" i="2"/>
  <c r="H82" i="2"/>
  <c r="C279" i="2"/>
  <c r="H79" i="2"/>
  <c r="H77" i="2"/>
  <c r="H80" i="2"/>
  <c r="H81" i="2"/>
  <c r="H78" i="2"/>
  <c r="I78" i="2"/>
  <c r="I80" i="2"/>
  <c r="I77" i="2"/>
  <c r="C309" i="2"/>
  <c r="G257" i="2"/>
  <c r="B282" i="2"/>
  <c r="B279" i="2"/>
  <c r="D261" i="2"/>
  <c r="D309" i="2"/>
  <c r="B309" i="2"/>
  <c r="C260" i="2"/>
  <c r="H234" i="2"/>
  <c r="D281" i="2"/>
  <c r="E309" i="2"/>
  <c r="G252" i="2"/>
  <c r="G261" i="2" s="1"/>
  <c r="D262" i="2"/>
  <c r="B283" i="2"/>
  <c r="H225" i="2"/>
  <c r="E257" i="2"/>
  <c r="E281" i="2"/>
  <c r="C262" i="2"/>
  <c r="F287" i="2"/>
  <c r="E262" i="2"/>
  <c r="D278" i="2"/>
  <c r="H181" i="2"/>
  <c r="H191" i="2" s="1"/>
  <c r="H112" i="2"/>
  <c r="G279" i="2" s="1"/>
  <c r="H111" i="2"/>
  <c r="G278" i="2" s="1"/>
  <c r="H180" i="2"/>
  <c r="H190" i="2" s="1"/>
  <c r="H224" i="2"/>
  <c r="H236" i="2"/>
  <c r="H228" i="2"/>
  <c r="D279" i="2"/>
  <c r="D280" i="2"/>
  <c r="H237" i="2"/>
  <c r="B259" i="2"/>
  <c r="H291" i="2"/>
  <c r="G300" i="2" s="1"/>
  <c r="G309" i="2" s="1"/>
  <c r="E278" i="2"/>
  <c r="G253" i="2"/>
  <c r="G262" i="2" s="1"/>
  <c r="E279" i="2"/>
  <c r="H233" i="2"/>
  <c r="C283" i="2"/>
  <c r="I70" i="2"/>
  <c r="I129" i="2" s="1"/>
  <c r="I139" i="2" s="1"/>
  <c r="I183" i="2" s="1"/>
  <c r="I193" i="2" s="1"/>
  <c r="I72" i="2"/>
  <c r="I131" i="2" s="1"/>
  <c r="I141" i="2" s="1"/>
  <c r="I185" i="2" s="1"/>
  <c r="I195" i="2" s="1"/>
  <c r="I126" i="2"/>
  <c r="I136" i="2" s="1"/>
  <c r="I69" i="2"/>
  <c r="I128" i="2" s="1"/>
  <c r="I138" i="2" s="1"/>
  <c r="I182" i="2" s="1"/>
  <c r="I192" i="2" s="1"/>
  <c r="I71" i="2"/>
  <c r="I130" i="2" s="1"/>
  <c r="I140" i="2" s="1"/>
  <c r="I184" i="2" s="1"/>
  <c r="I194" i="2" s="1"/>
  <c r="I73" i="2"/>
  <c r="I132" i="2" s="1"/>
  <c r="I142" i="2" s="1"/>
  <c r="I186" i="2" s="1"/>
  <c r="I196" i="2" s="1"/>
  <c r="I74" i="2"/>
  <c r="I133" i="2" s="1"/>
  <c r="I143" i="2" s="1"/>
  <c r="I187" i="2" s="1"/>
  <c r="I197" i="2" s="1"/>
  <c r="I68" i="2"/>
  <c r="I127" i="2" s="1"/>
  <c r="I137" i="2" s="1"/>
  <c r="I181" i="2" s="1"/>
  <c r="I191" i="2" s="1"/>
  <c r="F266" i="2"/>
  <c r="B278" i="2"/>
  <c r="H235" i="2"/>
  <c r="H222" i="2"/>
  <c r="I201" i="2"/>
  <c r="I206" i="2"/>
  <c r="I203" i="2"/>
  <c r="I207" i="2"/>
  <c r="I205" i="2"/>
  <c r="I204" i="2"/>
  <c r="I202" i="2"/>
  <c r="I200" i="2"/>
  <c r="B284" i="2"/>
  <c r="D282" i="2"/>
  <c r="B281" i="2"/>
  <c r="D260" i="2"/>
  <c r="H226" i="2"/>
  <c r="H227" i="2"/>
  <c r="C281" i="2"/>
  <c r="H223" i="2"/>
  <c r="G255" i="2"/>
  <c r="G264" i="2" s="1"/>
  <c r="H221" i="2"/>
  <c r="G251" i="2"/>
  <c r="G260" i="2" s="1"/>
  <c r="B280" i="2"/>
  <c r="D264" i="2"/>
  <c r="H112" i="1"/>
  <c r="H111" i="1"/>
  <c r="H114" i="1"/>
  <c r="H108" i="1"/>
  <c r="H109" i="1"/>
  <c r="H113" i="1"/>
  <c r="H110" i="1"/>
  <c r="H107" i="1"/>
  <c r="G143" i="1"/>
  <c r="C166" i="1"/>
  <c r="C165" i="1"/>
  <c r="C164" i="1"/>
  <c r="C170" i="1"/>
  <c r="B168" i="1"/>
  <c r="G135" i="1"/>
  <c r="G144" i="1"/>
  <c r="G134" i="1"/>
  <c r="G93" i="1"/>
  <c r="G103" i="1" s="1"/>
  <c r="B187" i="1"/>
  <c r="B166" i="1"/>
  <c r="B173" i="1" s="1"/>
  <c r="C185" i="1"/>
  <c r="F135" i="1"/>
  <c r="F144" i="1"/>
  <c r="F176" i="1"/>
  <c r="F128" i="1"/>
  <c r="F137" i="1"/>
  <c r="E162" i="1"/>
  <c r="E171" i="1" s="1"/>
  <c r="E178" i="1"/>
  <c r="D187" i="1" s="1"/>
  <c r="E139" i="1"/>
  <c r="D157" i="1"/>
  <c r="D166" i="1" s="1"/>
  <c r="E130" i="1"/>
  <c r="E157" i="1"/>
  <c r="F162" i="1"/>
  <c r="E176" i="1"/>
  <c r="D185" i="1" s="1"/>
  <c r="E128" i="1"/>
  <c r="D155" i="1"/>
  <c r="D164" i="1" s="1"/>
  <c r="E137" i="1"/>
  <c r="B186" i="1"/>
  <c r="H142" i="1"/>
  <c r="F141" i="1"/>
  <c r="F132" i="1"/>
  <c r="E159" i="1"/>
  <c r="E168" i="1" s="1"/>
  <c r="E155" i="1"/>
  <c r="B188" i="1"/>
  <c r="C188" i="1"/>
  <c r="B185" i="1"/>
  <c r="G81" i="1"/>
  <c r="G91" i="1" s="1"/>
  <c r="G101" i="1" s="1"/>
  <c r="G78" i="1"/>
  <c r="G88" i="1" s="1"/>
  <c r="G98" i="1" s="1"/>
  <c r="B190" i="1"/>
  <c r="C190" i="1"/>
  <c r="F78" i="1"/>
  <c r="F88" i="1" s="1"/>
  <c r="F98" i="1" s="1"/>
  <c r="F83" i="1"/>
  <c r="F93" i="1" s="1"/>
  <c r="F103" i="1" s="1"/>
  <c r="G82" i="1"/>
  <c r="G142" i="1" s="1"/>
  <c r="C167" i="1"/>
  <c r="C173" i="1" s="1"/>
  <c r="G80" i="1"/>
  <c r="G90" i="1" s="1"/>
  <c r="G100" i="1" s="1"/>
  <c r="F80" i="1"/>
  <c r="F90" i="1" s="1"/>
  <c r="F100" i="1" s="1"/>
  <c r="E216" i="1"/>
  <c r="Q2" i="1"/>
  <c r="G67" i="1"/>
  <c r="G200" i="1"/>
  <c r="F209" i="1" s="1"/>
  <c r="G69" i="1"/>
  <c r="I46" i="1" a="1"/>
  <c r="I46" i="1" s="1"/>
  <c r="I56" i="1" a="1"/>
  <c r="I56" i="1" s="1"/>
  <c r="G199" i="1"/>
  <c r="F208" i="1" s="1"/>
  <c r="G198" i="1"/>
  <c r="F207" i="1" s="1"/>
  <c r="H64" i="1"/>
  <c r="H73" i="1" s="1"/>
  <c r="H59" i="1"/>
  <c r="R3" i="1" s="1"/>
  <c r="H61" i="1"/>
  <c r="H58" i="1"/>
  <c r="H63" i="1"/>
  <c r="H72" i="1" s="1"/>
  <c r="H82" i="1" s="1"/>
  <c r="H65" i="1"/>
  <c r="H74" i="1" s="1"/>
  <c r="H60" i="1"/>
  <c r="H62" i="1"/>
  <c r="H71" i="1" s="1"/>
  <c r="Q3" i="1"/>
  <c r="Q11" i="1"/>
  <c r="Q20" i="1" s="1"/>
  <c r="Q12" i="1"/>
  <c r="Q21" i="1" s="1"/>
  <c r="Q13" i="1"/>
  <c r="Q22" i="1" s="1"/>
  <c r="Q4" i="1"/>
  <c r="I81" i="2" l="1"/>
  <c r="I83" i="2"/>
  <c r="I82" i="2"/>
  <c r="I76" i="2"/>
  <c r="E266" i="2"/>
  <c r="C266" i="2"/>
  <c r="B266" i="2"/>
  <c r="I79" i="2"/>
  <c r="B85" i="2" s="1" a="1"/>
  <c r="G266" i="2"/>
  <c r="I223" i="2"/>
  <c r="C287" i="2"/>
  <c r="D266" i="2"/>
  <c r="I230" i="2"/>
  <c r="G287" i="2"/>
  <c r="G288" i="2" s="1"/>
  <c r="F288" i="2" s="1"/>
  <c r="I250" i="2"/>
  <c r="I248" i="2"/>
  <c r="I257" i="2" s="1"/>
  <c r="I228" i="2"/>
  <c r="I232" i="2"/>
  <c r="H250" i="2"/>
  <c r="H259" i="2" s="1"/>
  <c r="I224" i="2"/>
  <c r="H248" i="2"/>
  <c r="H257" i="2" s="1"/>
  <c r="I226" i="2"/>
  <c r="I291" i="2"/>
  <c r="H300" i="2" s="1"/>
  <c r="H309" i="2" s="1"/>
  <c r="H310" i="2" s="1"/>
  <c r="G310" i="2" s="1"/>
  <c r="F310" i="2" s="1"/>
  <c r="E310" i="2" s="1"/>
  <c r="D310" i="2" s="1"/>
  <c r="C310" i="2" s="1"/>
  <c r="B310" i="2" s="1"/>
  <c r="B287" i="2"/>
  <c r="H251" i="2"/>
  <c r="H260" i="2" s="1"/>
  <c r="H255" i="2"/>
  <c r="H264" i="2" s="1"/>
  <c r="I255" i="2"/>
  <c r="H253" i="2"/>
  <c r="H262" i="2" s="1"/>
  <c r="I249" i="2"/>
  <c r="I258" i="2" s="1"/>
  <c r="I236" i="2"/>
  <c r="I227" i="2"/>
  <c r="D287" i="2"/>
  <c r="I111" i="2"/>
  <c r="H278" i="2" s="1"/>
  <c r="H287" i="2" s="1"/>
  <c r="H288" i="2" s="1"/>
  <c r="I180" i="2"/>
  <c r="I190" i="2" s="1"/>
  <c r="I235" i="2"/>
  <c r="H254" i="2"/>
  <c r="H263" i="2" s="1"/>
  <c r="I254" i="2"/>
  <c r="H249" i="2"/>
  <c r="H258" i="2" s="1"/>
  <c r="I233" i="2"/>
  <c r="I253" i="2"/>
  <c r="I222" i="2"/>
  <c r="I225" i="2"/>
  <c r="I234" i="2"/>
  <c r="I251" i="2"/>
  <c r="H252" i="2"/>
  <c r="H261" i="2" s="1"/>
  <c r="E287" i="2"/>
  <c r="I231" i="2"/>
  <c r="I237" i="2"/>
  <c r="I221" i="2"/>
  <c r="I252" i="2"/>
  <c r="F160" i="1"/>
  <c r="I109" i="1"/>
  <c r="I114" i="1"/>
  <c r="I108" i="1"/>
  <c r="I113" i="1"/>
  <c r="I110" i="1"/>
  <c r="I111" i="1"/>
  <c r="I107" i="1"/>
  <c r="I112" i="1"/>
  <c r="G160" i="1"/>
  <c r="E166" i="1"/>
  <c r="E187" i="1"/>
  <c r="G133" i="1"/>
  <c r="G92" i="1"/>
  <c r="G102" i="1" s="1"/>
  <c r="E164" i="1"/>
  <c r="H133" i="1"/>
  <c r="H92" i="1"/>
  <c r="H102" i="1" s="1"/>
  <c r="F179" i="1"/>
  <c r="E188" i="1" s="1"/>
  <c r="F131" i="1"/>
  <c r="E158" i="1"/>
  <c r="E167" i="1" s="1"/>
  <c r="F140" i="1"/>
  <c r="G141" i="1"/>
  <c r="F159" i="1"/>
  <c r="F168" i="1" s="1"/>
  <c r="G132" i="1"/>
  <c r="E185" i="1"/>
  <c r="G131" i="1"/>
  <c r="G140" i="1"/>
  <c r="F158" i="1"/>
  <c r="F167" i="1" s="1"/>
  <c r="F134" i="1"/>
  <c r="F143" i="1"/>
  <c r="E161" i="1"/>
  <c r="E170" i="1" s="1"/>
  <c r="F161" i="1"/>
  <c r="G177" i="1"/>
  <c r="F156" i="1"/>
  <c r="G129" i="1"/>
  <c r="G138" i="1"/>
  <c r="G159" i="1"/>
  <c r="F177" i="1"/>
  <c r="E186" i="1" s="1"/>
  <c r="E194" i="1" s="1"/>
  <c r="F129" i="1"/>
  <c r="E156" i="1"/>
  <c r="E165" i="1" s="1"/>
  <c r="F138" i="1"/>
  <c r="D173" i="1"/>
  <c r="C194" i="1"/>
  <c r="F169" i="1"/>
  <c r="F171" i="1"/>
  <c r="D194" i="1"/>
  <c r="G77" i="1"/>
  <c r="G87" i="1" s="1"/>
  <c r="G97" i="1" s="1"/>
  <c r="B194" i="1"/>
  <c r="H83" i="1"/>
  <c r="H84" i="1"/>
  <c r="H94" i="1" s="1"/>
  <c r="H104" i="1" s="1"/>
  <c r="G79" i="1"/>
  <c r="G89" i="1" s="1"/>
  <c r="G99" i="1" s="1"/>
  <c r="H81" i="1"/>
  <c r="H141" i="1" s="1"/>
  <c r="F216" i="1"/>
  <c r="H67" i="1"/>
  <c r="H199" i="1"/>
  <c r="G208" i="1" s="1"/>
  <c r="H198" i="1"/>
  <c r="G207" i="1" s="1"/>
  <c r="H69" i="1"/>
  <c r="H70" i="1"/>
  <c r="H68" i="1"/>
  <c r="R12" i="1"/>
  <c r="R21" i="1" s="1"/>
  <c r="R11" i="1"/>
  <c r="R20" i="1" s="1"/>
  <c r="R2" i="1"/>
  <c r="I61" i="1"/>
  <c r="I70" i="1" s="1"/>
  <c r="I80" i="1" s="1"/>
  <c r="I63" i="1"/>
  <c r="I72" i="1" s="1"/>
  <c r="I65" i="1"/>
  <c r="I74" i="1" s="1"/>
  <c r="I60" i="1"/>
  <c r="I69" i="1" s="1"/>
  <c r="I58" i="1"/>
  <c r="I67" i="1" s="1"/>
  <c r="I77" i="1" s="1"/>
  <c r="I62" i="1"/>
  <c r="I71" i="1" s="1"/>
  <c r="I64" i="1"/>
  <c r="I73" i="1" s="1"/>
  <c r="I59" i="1"/>
  <c r="I68" i="1" s="1"/>
  <c r="F94" i="2" l="1"/>
  <c r="D94" i="2"/>
  <c r="E94" i="2"/>
  <c r="B85" i="2"/>
  <c r="B94" i="2" s="1"/>
  <c r="C94" i="2"/>
  <c r="I263" i="2"/>
  <c r="I260" i="2"/>
  <c r="I259" i="2"/>
  <c r="I261" i="2"/>
  <c r="H266" i="2"/>
  <c r="E288" i="2"/>
  <c r="D288" i="2" s="1"/>
  <c r="C288" i="2" s="1"/>
  <c r="B288" i="2" s="1"/>
  <c r="I262" i="2"/>
  <c r="I264" i="2"/>
  <c r="F165" i="1"/>
  <c r="F186" i="1"/>
  <c r="I131" i="1"/>
  <c r="I90" i="1"/>
  <c r="I100" i="1" s="1"/>
  <c r="H134" i="1"/>
  <c r="H93" i="1"/>
  <c r="H103" i="1" s="1"/>
  <c r="H143" i="1"/>
  <c r="I176" i="1"/>
  <c r="I87" i="1"/>
  <c r="I97" i="1" s="1"/>
  <c r="F170" i="1"/>
  <c r="H132" i="1"/>
  <c r="H91" i="1"/>
  <c r="H101" i="1" s="1"/>
  <c r="E173" i="1"/>
  <c r="I155" i="1"/>
  <c r="I158" i="1"/>
  <c r="I162" i="1"/>
  <c r="H135" i="1"/>
  <c r="G162" i="1"/>
  <c r="G171" i="1" s="1"/>
  <c r="H158" i="1"/>
  <c r="I144" i="1"/>
  <c r="I128" i="1"/>
  <c r="G161" i="1"/>
  <c r="G170" i="1" s="1"/>
  <c r="I140" i="1"/>
  <c r="H144" i="1"/>
  <c r="I157" i="1"/>
  <c r="G176" i="1"/>
  <c r="F185" i="1" s="1"/>
  <c r="F155" i="1"/>
  <c r="G128" i="1"/>
  <c r="G137" i="1"/>
  <c r="G178" i="1"/>
  <c r="F187" i="1" s="1"/>
  <c r="F194" i="1" s="1"/>
  <c r="G130" i="1"/>
  <c r="F157" i="1"/>
  <c r="F166" i="1" s="1"/>
  <c r="G139" i="1"/>
  <c r="I137" i="1"/>
  <c r="F164" i="1"/>
  <c r="F173" i="1" s="1"/>
  <c r="I81" i="1"/>
  <c r="I91" i="1" s="1"/>
  <c r="I101" i="1" s="1"/>
  <c r="I83" i="1"/>
  <c r="I82" i="1"/>
  <c r="I92" i="1" s="1"/>
  <c r="I102" i="1" s="1"/>
  <c r="H77" i="1"/>
  <c r="H87" i="1" s="1"/>
  <c r="H97" i="1" s="1"/>
  <c r="H78" i="1"/>
  <c r="H88" i="1" s="1"/>
  <c r="H98" i="1" s="1"/>
  <c r="H79" i="1"/>
  <c r="G168" i="1"/>
  <c r="I78" i="1"/>
  <c r="I88" i="1" s="1"/>
  <c r="I98" i="1" s="1"/>
  <c r="H80" i="1"/>
  <c r="H90" i="1" s="1"/>
  <c r="H100" i="1" s="1"/>
  <c r="I79" i="1"/>
  <c r="I139" i="1" s="1"/>
  <c r="I84" i="1"/>
  <c r="G169" i="1"/>
  <c r="G216" i="1"/>
  <c r="I198" i="1"/>
  <c r="H207" i="1" s="1"/>
  <c r="H216" i="1" s="1"/>
  <c r="H217" i="1" s="1"/>
  <c r="G217" i="1" s="1"/>
  <c r="F217" i="1" s="1"/>
  <c r="E217" i="1" s="1"/>
  <c r="D217" i="1" s="1"/>
  <c r="C217" i="1" s="1"/>
  <c r="B217" i="1" s="1"/>
  <c r="S2" i="1"/>
  <c r="S11" i="1" s="1"/>
  <c r="S20" i="1" s="1"/>
  <c r="I135" i="1" l="1"/>
  <c r="I94" i="1"/>
  <c r="I104" i="1" s="1"/>
  <c r="I130" i="1"/>
  <c r="I89" i="1"/>
  <c r="I99" i="1" s="1"/>
  <c r="H157" i="1"/>
  <c r="H89" i="1"/>
  <c r="H99" i="1" s="1"/>
  <c r="I134" i="1"/>
  <c r="I93" i="1"/>
  <c r="I103" i="1" s="1"/>
  <c r="I129" i="1"/>
  <c r="I156" i="1"/>
  <c r="H156" i="1"/>
  <c r="H130" i="1"/>
  <c r="H139" i="1"/>
  <c r="H166" i="1" s="1"/>
  <c r="G157" i="1"/>
  <c r="G166" i="1" s="1"/>
  <c r="H176" i="1"/>
  <c r="G185" i="1" s="1"/>
  <c r="G194" i="1" s="1"/>
  <c r="H128" i="1"/>
  <c r="H137" i="1"/>
  <c r="G155" i="1"/>
  <c r="G164" i="1" s="1"/>
  <c r="I161" i="1"/>
  <c r="I170" i="1" s="1"/>
  <c r="I141" i="1"/>
  <c r="H159" i="1"/>
  <c r="I159" i="1"/>
  <c r="I132" i="1"/>
  <c r="H155" i="1"/>
  <c r="H161" i="1"/>
  <c r="H170" i="1" s="1"/>
  <c r="I133" i="1"/>
  <c r="H160" i="1"/>
  <c r="H169" i="1" s="1"/>
  <c r="I160" i="1"/>
  <c r="I143" i="1"/>
  <c r="I142" i="1"/>
  <c r="I138" i="1"/>
  <c r="H177" i="1"/>
  <c r="G186" i="1" s="1"/>
  <c r="H129" i="1"/>
  <c r="H138" i="1"/>
  <c r="G156" i="1"/>
  <c r="G165" i="1" s="1"/>
  <c r="G158" i="1"/>
  <c r="H131" i="1"/>
  <c r="H140" i="1"/>
  <c r="H167" i="1" s="1"/>
  <c r="H162" i="1"/>
  <c r="H171" i="1" s="1"/>
  <c r="G167" i="1"/>
  <c r="H168" i="1"/>
  <c r="I171" i="1"/>
  <c r="I167" i="1"/>
  <c r="I164" i="1"/>
  <c r="I168" i="1" l="1"/>
  <c r="H164" i="1"/>
  <c r="G173" i="1"/>
  <c r="H185" i="1"/>
  <c r="H194" i="1" s="1"/>
  <c r="H195" i="1" s="1"/>
  <c r="G195" i="1" s="1"/>
  <c r="F195" i="1" s="1"/>
  <c r="E195" i="1" s="1"/>
  <c r="D195" i="1" s="1"/>
  <c r="C195" i="1" s="1"/>
  <c r="B195" i="1" s="1"/>
  <c r="I165" i="1"/>
  <c r="I166" i="1"/>
  <c r="H165" i="1"/>
  <c r="H173" i="1" s="1"/>
  <c r="I16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<sst xmlns="http://schemas.openxmlformats.org/spreadsheetml/2006/main" count="478" uniqueCount="26">
  <si>
    <t>NA</t>
  </si>
  <si>
    <t>Reported</t>
  </si>
  <si>
    <t>Paid</t>
  </si>
  <si>
    <t>Case</t>
  </si>
  <si>
    <t>Open</t>
  </si>
  <si>
    <t>Avg Case</t>
  </si>
  <si>
    <t>Inflated Case</t>
  </si>
  <si>
    <t>CRAF</t>
  </si>
  <si>
    <t>Inflation</t>
  </si>
  <si>
    <t>DF Denom</t>
  </si>
  <si>
    <t>Current Case</t>
  </si>
  <si>
    <t>DF Num 1</t>
  </si>
  <si>
    <t>DF Num 2</t>
  </si>
  <si>
    <t>Calendar Year</t>
  </si>
  <si>
    <t>Adjusted Reported</t>
  </si>
  <si>
    <t>Adj Reptd</t>
  </si>
  <si>
    <t>Case Adj</t>
  </si>
  <si>
    <t>Actual Case Replication</t>
  </si>
  <si>
    <t>Check</t>
  </si>
  <si>
    <t>Adjusted Case to Actual Case Ratio</t>
  </si>
  <si>
    <t>Actual Case to Actual Case Ratio</t>
  </si>
  <si>
    <t>&lt;- (1 / inflation) * CRAF</t>
  </si>
  <si>
    <t>Adjusted Case as a function of actual case (Only includes the CRAF)</t>
  </si>
  <si>
    <t>Adjusted Case</t>
  </si>
  <si>
    <t>Trend Length</t>
  </si>
  <si>
    <t>Accident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</si>
</sst>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3" fontId="1" fillId="0" borderId="0"/>
    <xf numFmtId="1" fontId="1" fillId="0" borderId="0"/>
    <xf numFmtId="2" fontId="1" fillId="0" borderId="0"/>
  </cellStyleXfs>
  <cellXfs count="21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" fontId="18" fillId="0" borderId="0" xfId="0" applyNumberFormat="1" applyFont="1"/>
    <xf numFmtId="164" fontId="0" fillId="33" borderId="0" xfId="0" applyNumberFormat="1" applyFill="1"/>
    <xf numFmtId="3" fontId="0" fillId="0" borderId="0" xfId="0" applyNumberFormat="1"/>
    <xf numFmtId="3" fontId="14" fillId="0" borderId="0" xfId="0" applyNumberFormat="1" applyFont="1"/>
    <xf numFmtId="0" fontId="16" fillId="0" borderId="0" xfId="0" applyFont="1"/>
    <xf numFmtId="3" fontId="16" fillId="0" borderId="0" xfId="0" applyNumberFormat="1" applyFont="1"/>
    <xf numFmtId="1" fontId="1" fillId="0" borderId="0" xfId="43"/>
    <xf numFmtId="1" fontId="16" fillId="0" borderId="0" xfId="43" applyFont="1"/>
    <xf numFmtId="2" fontId="1" fillId="0" borderId="0" xfId="44"/>
    <xf numFmtId="3" fontId="1" fillId="0" borderId="0" xfId="42"/>
    <xf numFmtId="0" fontId="14" fillId="0" borderId="0" xfId="0" applyFont="1"/>
    <xf numFmtId="3" fontId="14" fillId="0" borderId="0" xfId="42" applyFont="1"/>
    <xf numFmtId="2" fontId="18" fillId="0" borderId="0" xfId="44" applyFont="1"/>
    <xf numFmtId="2" fontId="19" fillId="0" borderId="0" xfId="44" applyFont="1"/>
    <xf numFmtId="2" fontId="19" fillId="34" borderId="0" xfId="44" applyFont="1" applyFill="1"/>
    <xf numFmtId="2" fontId="1" fillId="34" borderId="0" xfId="44" applyFill="1"/>
    <xf numFmtId="1" fontId="14" fillId="0" borderId="0" xfId="43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-S Inflation" xfId="44" xr:uid="{B1D24DBC-710F-4D1C-82C9-BAAB18945235}"/>
    <cellStyle name="B-S Number" xfId="42" xr:uid="{32FA5612-8855-40F4-858F-D88A796AEAD5}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Year" xfId="43" xr:uid="{A6188A58-8672-424C-9E51-4B01D66E61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F796-7328-4C38-8625-90976CE8572D}">
  <dimension ref="A1:AE217"/>
  <sheetViews>
    <sheetView workbookViewId="0">
      <pane xSplit="1" ySplit="1" topLeftCell="B115" activePane="bottomRight" state="frozen"/>
      <selection pane="topRight" activeCell="B1" sqref="B1"/>
      <selection pane="bottomLeft" activeCell="A2" sqref="A2"/>
      <selection pane="bottomRight" activeCell="B182" sqref="B182"/>
    </sheetView>
  </sheetViews>
  <sheetFormatPr defaultRowHeight="15" x14ac:dyDescent="0.25"/>
  <cols>
    <col min="1" max="1" width="14.7109375" customWidth="1"/>
    <col min="2" max="9" width="10" customWidth="1"/>
    <col min="12" max="12" width="12.140625" bestFit="1" customWidth="1"/>
    <col min="13" max="13" width="10.5703125" bestFit="1" customWidth="1"/>
    <col min="21" max="21" width="15.140625" bestFit="1" customWidth="1"/>
  </cols>
  <sheetData>
    <row r="1" spans="1:31" x14ac:dyDescent="0.25">
      <c r="B1">
        <v>12</v>
      </c>
      <c r="C1">
        <f>B1+12</f>
        <v>24</v>
      </c>
      <c r="D1">
        <f t="shared" ref="D1:I1" si="0">C1+12</f>
        <v>36</v>
      </c>
      <c r="E1">
        <f t="shared" si="0"/>
        <v>48</v>
      </c>
      <c r="F1">
        <f t="shared" si="0"/>
        <v>60</v>
      </c>
      <c r="G1">
        <f t="shared" si="0"/>
        <v>72</v>
      </c>
      <c r="H1">
        <f t="shared" si="0"/>
        <v>84</v>
      </c>
      <c r="I1">
        <f t="shared" si="0"/>
        <v>96</v>
      </c>
      <c r="L1" t="s">
        <v>15</v>
      </c>
    </row>
    <row r="2" spans="1:31" x14ac:dyDescent="0.25">
      <c r="A2">
        <v>1969</v>
      </c>
      <c r="B2" s="6">
        <v>2897000</v>
      </c>
      <c r="C2" s="6">
        <v>5160000</v>
      </c>
      <c r="D2" s="6">
        <v>10714000</v>
      </c>
      <c r="E2" s="6">
        <v>15228000</v>
      </c>
      <c r="F2" s="6">
        <v>16611000</v>
      </c>
      <c r="G2" s="6">
        <v>20899000</v>
      </c>
      <c r="H2" s="6">
        <v>22892000</v>
      </c>
      <c r="I2" s="6">
        <v>23506000</v>
      </c>
      <c r="J2" t="s">
        <v>1</v>
      </c>
      <c r="L2" s="1">
        <f>B11+B$46/B58*B29</f>
        <v>3793503.650589583</v>
      </c>
      <c r="M2" s="1">
        <f t="shared" ref="M2:S2" si="1">C11+C$46/C58*C29</f>
        <v>12084942.318478279</v>
      </c>
      <c r="N2" s="1">
        <f t="shared" si="1"/>
        <v>18563820.50958604</v>
      </c>
      <c r="O2" s="1">
        <f t="shared" si="1"/>
        <v>25924315.586647823</v>
      </c>
      <c r="P2" s="1">
        <f t="shared" si="1"/>
        <v>23516364.154370733</v>
      </c>
      <c r="Q2" s="1">
        <f t="shared" si="1"/>
        <v>24979244.887437709</v>
      </c>
      <c r="R2" s="1">
        <f t="shared" si="1"/>
        <v>24016864.241348714</v>
      </c>
      <c r="S2" s="1">
        <f t="shared" si="1"/>
        <v>23506000</v>
      </c>
      <c r="U2" s="1">
        <f>B29*B$46/B58+B11</f>
        <v>3793503.650589583</v>
      </c>
      <c r="V2" s="1"/>
      <c r="W2" s="1"/>
      <c r="X2" s="1"/>
      <c r="Y2" s="1"/>
      <c r="Z2" s="1"/>
      <c r="AA2" s="1"/>
      <c r="AB2" s="1"/>
      <c r="AD2" s="1"/>
      <c r="AE2" s="1"/>
    </row>
    <row r="3" spans="1:31" x14ac:dyDescent="0.25">
      <c r="A3">
        <f>A2+1</f>
        <v>1970</v>
      </c>
      <c r="B3" s="6">
        <v>4828000</v>
      </c>
      <c r="C3" s="6">
        <v>10707000</v>
      </c>
      <c r="D3" s="6">
        <v>16907000</v>
      </c>
      <c r="E3" s="6">
        <v>22840000</v>
      </c>
      <c r="F3" s="6">
        <v>26211000</v>
      </c>
      <c r="G3" s="6">
        <v>31970000</v>
      </c>
      <c r="H3" s="6">
        <v>32216000</v>
      </c>
      <c r="I3" s="6" t="s">
        <v>0</v>
      </c>
      <c r="J3" t="s">
        <v>1</v>
      </c>
      <c r="L3" s="1">
        <f t="shared" ref="L3:M9" si="2">B12+B$46/B59*B30</f>
        <v>3760482.3375133416</v>
      </c>
      <c r="M3" s="1">
        <f t="shared" ref="M3:R3" si="3">C12+C$46/C59*C30</f>
        <v>15830499.962620556</v>
      </c>
      <c r="N3" s="1">
        <f t="shared" si="3"/>
        <v>24615996.184157357</v>
      </c>
      <c r="O3" s="1">
        <f t="shared" si="3"/>
        <v>33169801.78131903</v>
      </c>
      <c r="P3" s="1">
        <f t="shared" si="3"/>
        <v>30722141.016819481</v>
      </c>
      <c r="Q3" s="1">
        <f t="shared" si="3"/>
        <v>33362728.919631094</v>
      </c>
      <c r="R3" s="1">
        <f t="shared" si="3"/>
        <v>32216000</v>
      </c>
      <c r="U3" s="1">
        <f t="shared" ref="U3:U9" si="4">B30*B$46/B59+B12</f>
        <v>3760482.3375133411</v>
      </c>
      <c r="V3" s="1"/>
      <c r="W3" s="1"/>
      <c r="X3" s="1"/>
      <c r="Y3" s="1"/>
      <c r="Z3" s="1"/>
      <c r="AA3" s="1"/>
      <c r="AD3" s="1"/>
      <c r="AE3" s="1"/>
    </row>
    <row r="4" spans="1:31" x14ac:dyDescent="0.25">
      <c r="A4">
        <f t="shared" ref="A4:A9" si="5">A3+1</f>
        <v>1971</v>
      </c>
      <c r="B4" s="6">
        <v>5455000</v>
      </c>
      <c r="C4" s="6">
        <v>11941000</v>
      </c>
      <c r="D4" s="6">
        <v>20733000</v>
      </c>
      <c r="E4" s="6">
        <v>30928000</v>
      </c>
      <c r="F4" s="6">
        <v>42395000</v>
      </c>
      <c r="G4" s="6">
        <v>48377000</v>
      </c>
      <c r="H4" s="6" t="s">
        <v>0</v>
      </c>
      <c r="I4" s="6" t="s">
        <v>0</v>
      </c>
      <c r="J4" t="s">
        <v>1</v>
      </c>
      <c r="L4" s="1">
        <f t="shared" si="2"/>
        <v>5982184.7214957885</v>
      </c>
      <c r="M4" s="1">
        <f t="shared" ref="M4:Q4" si="6">C13+C$46/C60*C31</f>
        <v>25583831.209896684</v>
      </c>
      <c r="N4" s="1">
        <f t="shared" si="6"/>
        <v>41384824.588566795</v>
      </c>
      <c r="O4" s="1">
        <f t="shared" si="6"/>
        <v>50323341.900208786</v>
      </c>
      <c r="P4" s="1">
        <f t="shared" si="6"/>
        <v>46191355.596183516</v>
      </c>
      <c r="Q4" s="1">
        <f t="shared" si="6"/>
        <v>48377000</v>
      </c>
      <c r="U4" s="1">
        <f t="shared" si="4"/>
        <v>5982184.7214957885</v>
      </c>
      <c r="V4" s="1"/>
      <c r="W4" s="1"/>
      <c r="X4" s="1"/>
      <c r="Y4" s="1"/>
      <c r="Z4" s="1"/>
      <c r="AD4" s="1"/>
      <c r="AE4" s="1"/>
    </row>
    <row r="5" spans="1:31" x14ac:dyDescent="0.25">
      <c r="A5">
        <f t="shared" si="5"/>
        <v>1972</v>
      </c>
      <c r="B5" s="6">
        <v>8732000</v>
      </c>
      <c r="C5" s="6">
        <v>18633000</v>
      </c>
      <c r="D5" s="6">
        <v>32143000</v>
      </c>
      <c r="E5" s="6">
        <v>57196000</v>
      </c>
      <c r="F5" s="6">
        <v>61163000</v>
      </c>
      <c r="G5" s="6" t="s">
        <v>0</v>
      </c>
      <c r="H5" s="6" t="s">
        <v>0</v>
      </c>
      <c r="I5" s="6" t="s">
        <v>0</v>
      </c>
      <c r="J5" t="s">
        <v>1</v>
      </c>
      <c r="L5" s="1">
        <f t="shared" si="2"/>
        <v>7819355.0275605051</v>
      </c>
      <c r="M5" s="1">
        <f t="shared" ref="M5:P5" si="7">C14+C$46/C61*C32</f>
        <v>33794109.51576075</v>
      </c>
      <c r="N5" s="1">
        <f t="shared" si="7"/>
        <v>51361060.726793669</v>
      </c>
      <c r="O5" s="1">
        <f t="shared" si="7"/>
        <v>64559285.654721923</v>
      </c>
      <c r="P5" s="1">
        <f t="shared" si="7"/>
        <v>61163000</v>
      </c>
      <c r="U5" s="1">
        <f t="shared" si="4"/>
        <v>7819355.0275605051</v>
      </c>
      <c r="V5" s="1"/>
      <c r="W5" s="1"/>
      <c r="X5" s="1"/>
      <c r="Y5" s="1"/>
      <c r="AD5" s="1"/>
      <c r="AE5" s="1"/>
    </row>
    <row r="6" spans="1:31" x14ac:dyDescent="0.25">
      <c r="A6">
        <f t="shared" si="5"/>
        <v>1973</v>
      </c>
      <c r="B6" s="6">
        <v>11228000</v>
      </c>
      <c r="C6" s="6">
        <v>19967000</v>
      </c>
      <c r="D6" s="6">
        <v>50143000</v>
      </c>
      <c r="E6" s="6">
        <v>73733000</v>
      </c>
      <c r="F6" s="6" t="s">
        <v>0</v>
      </c>
      <c r="G6" s="6" t="s">
        <v>0</v>
      </c>
      <c r="H6" s="6" t="s">
        <v>0</v>
      </c>
      <c r="I6" s="6" t="s">
        <v>0</v>
      </c>
      <c r="J6" t="s">
        <v>1</v>
      </c>
      <c r="L6" s="1">
        <f t="shared" si="2"/>
        <v>9533246.4146535993</v>
      </c>
      <c r="M6" s="1">
        <f t="shared" ref="M6:O6" si="8">C15+C$46/C62*C33</f>
        <v>34585430.755321778</v>
      </c>
      <c r="N6" s="1">
        <f t="shared" si="8"/>
        <v>49667341.655991018</v>
      </c>
      <c r="O6" s="1">
        <f t="shared" si="8"/>
        <v>73733000</v>
      </c>
      <c r="U6" s="1">
        <f t="shared" si="4"/>
        <v>9533246.4146535993</v>
      </c>
      <c r="V6" s="1"/>
      <c r="W6" s="1"/>
      <c r="X6" s="1"/>
      <c r="AD6" s="1"/>
      <c r="AE6" s="1"/>
    </row>
    <row r="7" spans="1:31" x14ac:dyDescent="0.25">
      <c r="A7">
        <f t="shared" si="5"/>
        <v>1974</v>
      </c>
      <c r="B7" s="6">
        <v>8706000</v>
      </c>
      <c r="C7" s="6">
        <v>33459000</v>
      </c>
      <c r="D7" s="6">
        <v>63477000</v>
      </c>
      <c r="E7" s="6" t="s">
        <v>0</v>
      </c>
      <c r="F7" s="6" t="s">
        <v>0</v>
      </c>
      <c r="G7" s="6" t="s">
        <v>0</v>
      </c>
      <c r="H7" s="6" t="s">
        <v>0</v>
      </c>
      <c r="I7" s="6" t="s">
        <v>0</v>
      </c>
      <c r="J7" t="s">
        <v>1</v>
      </c>
      <c r="L7" s="1">
        <f t="shared" si="2"/>
        <v>10348458.389970351</v>
      </c>
      <c r="M7" s="1">
        <f t="shared" ref="M7:N7" si="9">C16+C$46/C63*C34</f>
        <v>41241242.674858227</v>
      </c>
      <c r="N7" s="1">
        <f t="shared" si="9"/>
        <v>63477000.000000007</v>
      </c>
      <c r="U7" s="1">
        <f t="shared" si="4"/>
        <v>10348458.389970351</v>
      </c>
      <c r="V7" s="1"/>
      <c r="W7" s="1"/>
      <c r="AD7" s="1"/>
      <c r="AE7" s="1"/>
    </row>
    <row r="8" spans="1:31" x14ac:dyDescent="0.25">
      <c r="A8">
        <f t="shared" si="5"/>
        <v>1975</v>
      </c>
      <c r="B8" s="6">
        <v>12928000</v>
      </c>
      <c r="C8" s="6">
        <v>48904000</v>
      </c>
      <c r="D8" s="6" t="s">
        <v>0</v>
      </c>
      <c r="E8" s="6" t="s">
        <v>0</v>
      </c>
      <c r="F8" s="6" t="s">
        <v>0</v>
      </c>
      <c r="G8" s="6" t="s">
        <v>0</v>
      </c>
      <c r="H8" s="6" t="s">
        <v>0</v>
      </c>
      <c r="I8" s="6" t="s">
        <v>0</v>
      </c>
      <c r="J8" t="s">
        <v>1</v>
      </c>
      <c r="L8" s="1">
        <f t="shared" si="2"/>
        <v>13102479.278755272</v>
      </c>
      <c r="M8" s="1">
        <f t="shared" si="2"/>
        <v>48904000</v>
      </c>
      <c r="U8" s="1">
        <f t="shared" si="4"/>
        <v>13102479.278755274</v>
      </c>
      <c r="V8" s="1"/>
      <c r="AD8" s="1"/>
      <c r="AE8" s="1"/>
    </row>
    <row r="9" spans="1:31" x14ac:dyDescent="0.25">
      <c r="A9">
        <f t="shared" si="5"/>
        <v>1976</v>
      </c>
      <c r="B9" s="6">
        <v>15791000</v>
      </c>
      <c r="C9" s="6" t="s">
        <v>0</v>
      </c>
      <c r="D9" s="6" t="s">
        <v>0</v>
      </c>
      <c r="E9" s="6" t="s">
        <v>0</v>
      </c>
      <c r="F9" s="6" t="s">
        <v>0</v>
      </c>
      <c r="G9" s="6" t="s">
        <v>0</v>
      </c>
      <c r="H9" s="6" t="s">
        <v>0</v>
      </c>
      <c r="I9" s="6" t="s">
        <v>0</v>
      </c>
      <c r="J9" t="s">
        <v>1</v>
      </c>
      <c r="L9" s="1">
        <f t="shared" si="2"/>
        <v>15791000</v>
      </c>
      <c r="U9" s="1">
        <f t="shared" si="4"/>
        <v>15791000</v>
      </c>
      <c r="AD9" s="1"/>
    </row>
    <row r="10" spans="1:31" x14ac:dyDescent="0.25">
      <c r="B10" s="6"/>
      <c r="C10" s="6"/>
      <c r="D10" s="6"/>
      <c r="E10" s="6"/>
      <c r="F10" s="6"/>
      <c r="G10" s="6"/>
      <c r="H10" s="6"/>
      <c r="I10" s="6"/>
      <c r="L10" t="s">
        <v>16</v>
      </c>
    </row>
    <row r="11" spans="1:31" x14ac:dyDescent="0.25">
      <c r="A11" cm="1">
        <f t="array" ref="A11:A18">$A$2:$A$9</f>
        <v>1969</v>
      </c>
      <c r="B11" s="6">
        <v>125000</v>
      </c>
      <c r="C11" s="6">
        <v>406000</v>
      </c>
      <c r="D11" s="6">
        <v>1443000</v>
      </c>
      <c r="E11" s="6">
        <v>2986000</v>
      </c>
      <c r="F11" s="6">
        <v>4467000</v>
      </c>
      <c r="G11" s="6">
        <v>8179000</v>
      </c>
      <c r="H11" s="6">
        <v>12638000</v>
      </c>
      <c r="I11" s="6">
        <v>15815000</v>
      </c>
      <c r="J11" t="s">
        <v>2</v>
      </c>
      <c r="L11" s="5">
        <f>B20/(B$46/B58*B29)</f>
        <v>0.75562143697321893</v>
      </c>
      <c r="M11" s="3">
        <f t="shared" ref="M11:M17" si="10">C20/(C$46/C58*C29)</f>
        <v>0.40705740899826859</v>
      </c>
      <c r="N11" s="5">
        <f t="shared" ref="N11:R16" si="11">D20/(D$46/D58*D29)</f>
        <v>0.54150442117006703</v>
      </c>
      <c r="O11" s="3">
        <f t="shared" si="11"/>
        <v>0.53369219521619771</v>
      </c>
      <c r="P11" s="5">
        <f t="shared" si="11"/>
        <v>0.63750159331242828</v>
      </c>
      <c r="Q11" s="3">
        <f t="shared" si="11"/>
        <v>0.75713182071002494</v>
      </c>
      <c r="R11" s="5">
        <f t="shared" si="11"/>
        <v>0.90114441850345994</v>
      </c>
      <c r="S11" s="3">
        <f t="shared" ref="S11" si="12">(I2-I11)/(S2-I11)</f>
        <v>1</v>
      </c>
    </row>
    <row r="12" spans="1:31" x14ac:dyDescent="0.25">
      <c r="A12">
        <v>1970</v>
      </c>
      <c r="B12" s="6">
        <v>43000</v>
      </c>
      <c r="C12" s="6">
        <v>529000</v>
      </c>
      <c r="D12" s="6">
        <v>2016000</v>
      </c>
      <c r="E12" s="6">
        <v>3641000</v>
      </c>
      <c r="F12" s="6">
        <v>7523000</v>
      </c>
      <c r="G12" s="6">
        <v>14295000</v>
      </c>
      <c r="H12" s="6">
        <v>18983000</v>
      </c>
      <c r="I12" s="6" t="s">
        <v>0</v>
      </c>
      <c r="J12" t="s">
        <v>2</v>
      </c>
      <c r="L12" s="3">
        <f t="shared" ref="L12:L18" si="13">B21/(B$46/B59*B30)</f>
        <v>1.2871614618620437</v>
      </c>
      <c r="M12" s="5">
        <f t="shared" si="10"/>
        <v>0.66516354768247843</v>
      </c>
      <c r="N12" s="3">
        <f t="shared" si="11"/>
        <v>0.65889391655909313</v>
      </c>
      <c r="O12" s="5">
        <f t="shared" si="11"/>
        <v>0.65017876926336948</v>
      </c>
      <c r="P12" s="3">
        <f t="shared" si="11"/>
        <v>0.80554706686989475</v>
      </c>
      <c r="Q12" s="5">
        <f t="shared" si="11"/>
        <v>0.92695884625267477</v>
      </c>
      <c r="R12" s="3">
        <f t="shared" si="11"/>
        <v>1</v>
      </c>
    </row>
    <row r="13" spans="1:31" x14ac:dyDescent="0.25">
      <c r="A13">
        <v>1971</v>
      </c>
      <c r="B13" s="6">
        <v>295000</v>
      </c>
      <c r="C13" s="6">
        <v>1147000</v>
      </c>
      <c r="D13" s="6">
        <v>2479000</v>
      </c>
      <c r="E13" s="6">
        <v>5071000</v>
      </c>
      <c r="F13" s="6">
        <v>11399000</v>
      </c>
      <c r="G13" s="6">
        <v>17707000</v>
      </c>
      <c r="H13" s="6" t="s">
        <v>0</v>
      </c>
      <c r="I13" s="6" t="s">
        <v>0</v>
      </c>
      <c r="J13" t="s">
        <v>2</v>
      </c>
      <c r="L13" s="5">
        <f t="shared" si="13"/>
        <v>0.9073030423113928</v>
      </c>
      <c r="M13" s="3">
        <f t="shared" si="10"/>
        <v>0.44171029816781371</v>
      </c>
      <c r="N13" s="5">
        <f t="shared" si="11"/>
        <v>0.4691842466529878</v>
      </c>
      <c r="O13" s="3">
        <f t="shared" si="11"/>
        <v>0.57139584194383319</v>
      </c>
      <c r="P13" s="5">
        <f t="shared" si="11"/>
        <v>0.89088535308601091</v>
      </c>
      <c r="Q13" s="3">
        <f t="shared" si="11"/>
        <v>1</v>
      </c>
    </row>
    <row r="14" spans="1:31" x14ac:dyDescent="0.25">
      <c r="A14">
        <v>1972</v>
      </c>
      <c r="B14" s="6">
        <v>50000</v>
      </c>
      <c r="C14" s="6">
        <v>786000</v>
      </c>
      <c r="D14" s="6">
        <v>3810000</v>
      </c>
      <c r="E14" s="6">
        <v>9771000</v>
      </c>
      <c r="F14" s="6">
        <v>18518000</v>
      </c>
      <c r="G14" s="6" t="s">
        <v>0</v>
      </c>
      <c r="H14" s="6" t="s">
        <v>0</v>
      </c>
      <c r="I14" s="6" t="s">
        <v>0</v>
      </c>
      <c r="J14" t="s">
        <v>2</v>
      </c>
      <c r="L14" s="3">
        <f t="shared" si="13"/>
        <v>1.1174672761383715</v>
      </c>
      <c r="M14" s="5">
        <f t="shared" si="10"/>
        <v>0.54068531224056904</v>
      </c>
      <c r="N14" s="3">
        <f t="shared" si="11"/>
        <v>0.59584370079120363</v>
      </c>
      <c r="O14" s="5">
        <f t="shared" si="11"/>
        <v>0.8656047443950764</v>
      </c>
      <c r="P14" s="3">
        <f t="shared" si="11"/>
        <v>1</v>
      </c>
    </row>
    <row r="15" spans="1:31" x14ac:dyDescent="0.25">
      <c r="A15">
        <v>1973</v>
      </c>
      <c r="B15" s="6">
        <v>213000</v>
      </c>
      <c r="C15" s="6">
        <v>833000</v>
      </c>
      <c r="D15" s="6">
        <v>3599000</v>
      </c>
      <c r="E15" s="6">
        <v>11292000</v>
      </c>
      <c r="F15" s="6" t="s">
        <v>0</v>
      </c>
      <c r="G15" s="6" t="s">
        <v>0</v>
      </c>
      <c r="H15" s="6" t="s">
        <v>0</v>
      </c>
      <c r="I15" s="6" t="s">
        <v>0</v>
      </c>
      <c r="J15" t="s">
        <v>2</v>
      </c>
      <c r="L15" s="5">
        <f t="shared" si="13"/>
        <v>1.1818357058330404</v>
      </c>
      <c r="M15" s="3">
        <f t="shared" si="10"/>
        <v>0.56689250438601746</v>
      </c>
      <c r="N15" s="5">
        <f t="shared" si="11"/>
        <v>1.010325058964807</v>
      </c>
      <c r="O15" s="3">
        <f t="shared" si="11"/>
        <v>1</v>
      </c>
    </row>
    <row r="16" spans="1:31" x14ac:dyDescent="0.25">
      <c r="A16">
        <v>1974</v>
      </c>
      <c r="B16" s="6">
        <v>172000</v>
      </c>
      <c r="C16" s="6">
        <v>1587000</v>
      </c>
      <c r="D16" s="6">
        <v>6267000</v>
      </c>
      <c r="E16" s="6" t="s">
        <v>0</v>
      </c>
      <c r="F16" s="6" t="s">
        <v>0</v>
      </c>
      <c r="G16" s="6" t="s">
        <v>0</v>
      </c>
      <c r="H16" s="6" t="s">
        <v>0</v>
      </c>
      <c r="I16" s="6" t="s">
        <v>0</v>
      </c>
      <c r="J16" t="s">
        <v>2</v>
      </c>
      <c r="L16" s="3">
        <f t="shared" si="13"/>
        <v>0.83860216127949638</v>
      </c>
      <c r="M16" s="5">
        <f t="shared" si="10"/>
        <v>0.80374753998788728</v>
      </c>
      <c r="N16" s="3">
        <f t="shared" si="11"/>
        <v>0.99999999999999989</v>
      </c>
    </row>
    <row r="17" spans="1:19" x14ac:dyDescent="0.25">
      <c r="A17">
        <v>1975</v>
      </c>
      <c r="B17" s="6">
        <v>210000</v>
      </c>
      <c r="C17" s="6">
        <v>1565000</v>
      </c>
      <c r="D17" s="6" t="s">
        <v>0</v>
      </c>
      <c r="E17" s="6" t="s">
        <v>0</v>
      </c>
      <c r="F17" s="6" t="s">
        <v>0</v>
      </c>
      <c r="G17" s="6" t="s">
        <v>0</v>
      </c>
      <c r="H17" s="6" t="s">
        <v>0</v>
      </c>
      <c r="I17" s="6" t="s">
        <v>0</v>
      </c>
      <c r="J17" t="s">
        <v>2</v>
      </c>
      <c r="L17" s="5">
        <f t="shared" si="13"/>
        <v>0.98646658451157754</v>
      </c>
      <c r="M17" s="3">
        <f t="shared" si="10"/>
        <v>1</v>
      </c>
    </row>
    <row r="18" spans="1:19" x14ac:dyDescent="0.25">
      <c r="A18">
        <v>1976</v>
      </c>
      <c r="B18" s="6">
        <v>209000</v>
      </c>
      <c r="C18" s="6" t="s">
        <v>0</v>
      </c>
      <c r="D18" s="6" t="s">
        <v>0</v>
      </c>
      <c r="E18" s="6" t="s">
        <v>0</v>
      </c>
      <c r="F18" s="6" t="s">
        <v>0</v>
      </c>
      <c r="G18" s="6" t="s">
        <v>0</v>
      </c>
      <c r="H18" s="6" t="s">
        <v>0</v>
      </c>
      <c r="I18" s="6" t="s">
        <v>0</v>
      </c>
      <c r="J18" t="s">
        <v>2</v>
      </c>
      <c r="L18" s="3">
        <f t="shared" si="13"/>
        <v>1</v>
      </c>
    </row>
    <row r="19" spans="1:19" x14ac:dyDescent="0.25">
      <c r="B19" s="6"/>
      <c r="C19" s="6"/>
      <c r="D19" s="6"/>
      <c r="E19" s="6"/>
      <c r="F19" s="6"/>
      <c r="G19" s="6"/>
      <c r="H19" s="6"/>
      <c r="I19" s="6"/>
    </row>
    <row r="20" spans="1:19" x14ac:dyDescent="0.25">
      <c r="A20" cm="1">
        <f t="array" ref="A20:A27">$A$2:$A$9</f>
        <v>1969</v>
      </c>
      <c r="B20" s="6">
        <v>2772000</v>
      </c>
      <c r="C20" s="6">
        <v>4754000</v>
      </c>
      <c r="D20" s="6">
        <v>9271000</v>
      </c>
      <c r="E20" s="6">
        <v>12242000</v>
      </c>
      <c r="F20" s="6">
        <v>12144000</v>
      </c>
      <c r="G20" s="6">
        <v>12720000</v>
      </c>
      <c r="H20" s="6">
        <v>10254000</v>
      </c>
      <c r="I20" s="6">
        <v>7691000</v>
      </c>
      <c r="J20" t="s">
        <v>3</v>
      </c>
      <c r="L20" s="1">
        <f>B11+B29*B$46/B58*L11</f>
        <v>2897000</v>
      </c>
      <c r="M20" s="1">
        <f t="shared" ref="M20:S20" si="14">C11+C$46/C58*C29*M11</f>
        <v>5160000</v>
      </c>
      <c r="N20" s="1">
        <f t="shared" si="14"/>
        <v>10714000</v>
      </c>
      <c r="O20" s="1">
        <f t="shared" si="14"/>
        <v>15228000</v>
      </c>
      <c r="P20" s="1">
        <f t="shared" si="14"/>
        <v>16611000</v>
      </c>
      <c r="Q20" s="1">
        <f t="shared" si="14"/>
        <v>20899000</v>
      </c>
      <c r="R20" s="1">
        <f t="shared" si="14"/>
        <v>22892000</v>
      </c>
      <c r="S20" s="1">
        <f t="shared" si="14"/>
        <v>23506000</v>
      </c>
    </row>
    <row r="21" spans="1:19" x14ac:dyDescent="0.25">
      <c r="A21">
        <v>1970</v>
      </c>
      <c r="B21" s="6">
        <v>4785000</v>
      </c>
      <c r="C21" s="6">
        <v>10178000</v>
      </c>
      <c r="D21" s="6">
        <v>14891000</v>
      </c>
      <c r="E21" s="6">
        <v>19199000</v>
      </c>
      <c r="F21" s="6">
        <v>18688000</v>
      </c>
      <c r="G21" s="6">
        <v>17675000</v>
      </c>
      <c r="H21" s="6">
        <v>13233000</v>
      </c>
      <c r="I21" s="6" t="s">
        <v>0</v>
      </c>
      <c r="J21" t="s">
        <v>3</v>
      </c>
      <c r="L21" s="1">
        <f t="shared" ref="L21:M27" si="15">B12+B$46/B59*B30*L12</f>
        <v>4828000</v>
      </c>
      <c r="M21" s="1">
        <f t="shared" ref="M21:R21" si="16">C12+C$46/C59*C30*M12</f>
        <v>10707000</v>
      </c>
      <c r="N21" s="1">
        <f t="shared" si="16"/>
        <v>16907000</v>
      </c>
      <c r="O21" s="1">
        <f t="shared" si="16"/>
        <v>22840000</v>
      </c>
      <c r="P21" s="1">
        <f t="shared" si="16"/>
        <v>26211000</v>
      </c>
      <c r="Q21" s="1">
        <f t="shared" si="16"/>
        <v>31970000</v>
      </c>
      <c r="R21" s="1">
        <f t="shared" si="16"/>
        <v>32216000</v>
      </c>
    </row>
    <row r="22" spans="1:19" x14ac:dyDescent="0.25">
      <c r="A22">
        <v>1971</v>
      </c>
      <c r="B22" s="6">
        <v>5160000</v>
      </c>
      <c r="C22" s="6">
        <v>10794000</v>
      </c>
      <c r="D22" s="6">
        <v>18254000</v>
      </c>
      <c r="E22" s="6">
        <v>25857000</v>
      </c>
      <c r="F22" s="6">
        <v>30996000</v>
      </c>
      <c r="G22" s="6">
        <v>30670000</v>
      </c>
      <c r="H22" s="6" t="s">
        <v>0</v>
      </c>
      <c r="I22" s="6" t="s">
        <v>0</v>
      </c>
      <c r="J22" t="s">
        <v>3</v>
      </c>
      <c r="L22" s="1">
        <f t="shared" si="15"/>
        <v>5455000</v>
      </c>
      <c r="M22" s="1">
        <f t="shared" ref="M22:Q22" si="17">C13+C$46/C60*C31*M13</f>
        <v>11941000</v>
      </c>
      <c r="N22" s="1">
        <f t="shared" si="17"/>
        <v>20733000</v>
      </c>
      <c r="O22" s="1">
        <f t="shared" si="17"/>
        <v>30928000</v>
      </c>
      <c r="P22" s="1">
        <f t="shared" si="17"/>
        <v>42395000</v>
      </c>
      <c r="Q22" s="1">
        <f t="shared" si="17"/>
        <v>48377000</v>
      </c>
    </row>
    <row r="23" spans="1:19" x14ac:dyDescent="0.25">
      <c r="A23">
        <v>1972</v>
      </c>
      <c r="B23" s="6">
        <v>8682000</v>
      </c>
      <c r="C23" s="6">
        <v>17847000</v>
      </c>
      <c r="D23" s="6">
        <v>28333000</v>
      </c>
      <c r="E23" s="6">
        <v>47425000</v>
      </c>
      <c r="F23" s="6">
        <v>42645000</v>
      </c>
      <c r="G23" s="6" t="s">
        <v>0</v>
      </c>
      <c r="H23" s="6" t="s">
        <v>0</v>
      </c>
      <c r="I23" s="6" t="s">
        <v>0</v>
      </c>
      <c r="J23" t="s">
        <v>3</v>
      </c>
      <c r="L23" s="1">
        <f t="shared" si="15"/>
        <v>8732000</v>
      </c>
      <c r="M23" s="1">
        <f t="shared" ref="M23:P23" si="18">C14+C$46/C61*C32*M14</f>
        <v>18633000</v>
      </c>
      <c r="N23" s="1">
        <f t="shared" si="18"/>
        <v>32143000</v>
      </c>
      <c r="O23" s="1">
        <f t="shared" si="18"/>
        <v>57196000</v>
      </c>
      <c r="P23" s="1">
        <f t="shared" si="18"/>
        <v>61163000</v>
      </c>
    </row>
    <row r="24" spans="1:19" x14ac:dyDescent="0.25">
      <c r="A24">
        <v>1973</v>
      </c>
      <c r="B24" s="6">
        <v>11015000</v>
      </c>
      <c r="C24" s="6">
        <v>19134000</v>
      </c>
      <c r="D24" s="6">
        <v>46544000</v>
      </c>
      <c r="E24" s="6">
        <v>62441000</v>
      </c>
      <c r="F24" s="6" t="s">
        <v>0</v>
      </c>
      <c r="G24" s="6" t="s">
        <v>0</v>
      </c>
      <c r="H24" s="6" t="s">
        <v>0</v>
      </c>
      <c r="I24" s="6" t="s">
        <v>0</v>
      </c>
      <c r="J24" t="s">
        <v>3</v>
      </c>
      <c r="L24" s="1">
        <f t="shared" si="15"/>
        <v>11228000</v>
      </c>
      <c r="M24" s="1">
        <f t="shared" ref="M24:O24" si="19">C15+C$46/C62*C33*M15</f>
        <v>19967000</v>
      </c>
      <c r="N24" s="1">
        <f t="shared" si="19"/>
        <v>50143000</v>
      </c>
      <c r="O24" s="1">
        <f t="shared" si="19"/>
        <v>73733000</v>
      </c>
    </row>
    <row r="25" spans="1:19" x14ac:dyDescent="0.25">
      <c r="A25">
        <v>1974</v>
      </c>
      <c r="B25" s="6">
        <v>8534000</v>
      </c>
      <c r="C25" s="6">
        <v>31872000</v>
      </c>
      <c r="D25" s="6">
        <v>57210000</v>
      </c>
      <c r="E25" s="6" t="s">
        <v>0</v>
      </c>
      <c r="F25" s="6" t="s">
        <v>0</v>
      </c>
      <c r="G25" s="6" t="s">
        <v>0</v>
      </c>
      <c r="H25" s="6" t="s">
        <v>0</v>
      </c>
      <c r="I25" s="6" t="s">
        <v>0</v>
      </c>
      <c r="J25" t="s">
        <v>3</v>
      </c>
      <c r="L25" s="1">
        <f t="shared" si="15"/>
        <v>8706000</v>
      </c>
      <c r="M25" s="1">
        <f t="shared" ref="M25:N25" si="20">C16+C$46/C63*C34*M16</f>
        <v>33459000</v>
      </c>
      <c r="N25" s="1">
        <f t="shared" si="20"/>
        <v>63477000</v>
      </c>
    </row>
    <row r="26" spans="1:19" x14ac:dyDescent="0.25">
      <c r="A26">
        <v>1975</v>
      </c>
      <c r="B26" s="6">
        <v>12718000</v>
      </c>
      <c r="C26" s="6">
        <v>47339000</v>
      </c>
      <c r="D26" s="6" t="s">
        <v>0</v>
      </c>
      <c r="E26" s="6" t="s">
        <v>0</v>
      </c>
      <c r="F26" s="6" t="s">
        <v>0</v>
      </c>
      <c r="G26" s="6" t="s">
        <v>0</v>
      </c>
      <c r="H26" s="6" t="s">
        <v>0</v>
      </c>
      <c r="I26" s="6" t="s">
        <v>0</v>
      </c>
      <c r="J26" t="s">
        <v>3</v>
      </c>
      <c r="L26" s="1">
        <f t="shared" si="15"/>
        <v>12928000</v>
      </c>
      <c r="M26" s="1">
        <f t="shared" si="15"/>
        <v>48904000</v>
      </c>
    </row>
    <row r="27" spans="1:19" x14ac:dyDescent="0.25">
      <c r="A27">
        <v>1976</v>
      </c>
      <c r="B27" s="6">
        <v>15582000</v>
      </c>
      <c r="C27" s="6" t="s">
        <v>0</v>
      </c>
      <c r="D27" s="6" t="s">
        <v>0</v>
      </c>
      <c r="E27" s="6" t="s">
        <v>0</v>
      </c>
      <c r="F27" s="6" t="s">
        <v>0</v>
      </c>
      <c r="G27" s="6" t="s">
        <v>0</v>
      </c>
      <c r="H27" s="6" t="s">
        <v>0</v>
      </c>
      <c r="I27" s="6" t="s">
        <v>0</v>
      </c>
      <c r="J27" t="s">
        <v>3</v>
      </c>
      <c r="L27" s="1">
        <f t="shared" si="15"/>
        <v>15791000</v>
      </c>
    </row>
    <row r="28" spans="1:19" x14ac:dyDescent="0.25">
      <c r="B28" s="6"/>
      <c r="C28" s="6"/>
      <c r="D28" s="6"/>
      <c r="E28" s="6"/>
      <c r="F28" s="6"/>
      <c r="G28" s="6"/>
      <c r="H28" s="6"/>
      <c r="I28" s="6"/>
    </row>
    <row r="29" spans="1:19" x14ac:dyDescent="0.25">
      <c r="A29" cm="1">
        <f t="array" ref="A29:A36">$A$2:$A$9</f>
        <v>1969</v>
      </c>
      <c r="B29" s="6">
        <v>749</v>
      </c>
      <c r="C29" s="6">
        <v>840</v>
      </c>
      <c r="D29" s="6">
        <v>1001</v>
      </c>
      <c r="E29" s="6">
        <v>1206</v>
      </c>
      <c r="F29" s="6">
        <v>1034</v>
      </c>
      <c r="G29" s="6">
        <v>765</v>
      </c>
      <c r="H29" s="6">
        <v>533</v>
      </c>
      <c r="I29" s="6">
        <v>359</v>
      </c>
      <c r="J29" t="s">
        <v>4</v>
      </c>
    </row>
    <row r="30" spans="1:19" x14ac:dyDescent="0.25">
      <c r="A30">
        <v>1970</v>
      </c>
      <c r="B30" s="6">
        <v>660</v>
      </c>
      <c r="C30" s="6">
        <v>957</v>
      </c>
      <c r="D30" s="6">
        <v>1149</v>
      </c>
      <c r="E30" s="6">
        <v>1350</v>
      </c>
      <c r="F30" s="6">
        <v>1095</v>
      </c>
      <c r="G30" s="6">
        <v>755</v>
      </c>
      <c r="H30" s="6">
        <v>539</v>
      </c>
      <c r="I30" s="6" t="s">
        <v>0</v>
      </c>
      <c r="J30" t="s">
        <v>4</v>
      </c>
    </row>
    <row r="31" spans="1:19" x14ac:dyDescent="0.25">
      <c r="A31">
        <v>1971</v>
      </c>
      <c r="B31" s="6">
        <v>878</v>
      </c>
      <c r="C31" s="6">
        <v>1329</v>
      </c>
      <c r="D31" s="6">
        <v>1720</v>
      </c>
      <c r="E31" s="6">
        <v>1799</v>
      </c>
      <c r="F31" s="6">
        <v>1428</v>
      </c>
      <c r="G31" s="6">
        <v>1056</v>
      </c>
      <c r="H31" s="6" t="s">
        <v>0</v>
      </c>
      <c r="I31" s="6" t="s">
        <v>0</v>
      </c>
      <c r="J31" t="s">
        <v>4</v>
      </c>
    </row>
    <row r="32" spans="1:19" x14ac:dyDescent="0.25">
      <c r="A32">
        <v>1972</v>
      </c>
      <c r="B32" s="6">
        <v>1043</v>
      </c>
      <c r="C32" s="6">
        <v>1561</v>
      </c>
      <c r="D32" s="6">
        <v>1828</v>
      </c>
      <c r="E32" s="6">
        <v>1894</v>
      </c>
      <c r="F32" s="6">
        <v>1522</v>
      </c>
      <c r="G32" s="6" t="s">
        <v>0</v>
      </c>
      <c r="H32" s="6" t="s">
        <v>0</v>
      </c>
      <c r="I32" s="6" t="s">
        <v>0</v>
      </c>
      <c r="J32" t="s">
        <v>4</v>
      </c>
    </row>
    <row r="33" spans="1:12" x14ac:dyDescent="0.25">
      <c r="A33">
        <v>1973</v>
      </c>
      <c r="B33" s="6">
        <v>1088</v>
      </c>
      <c r="C33" s="6">
        <v>1388</v>
      </c>
      <c r="D33" s="6">
        <v>1540</v>
      </c>
      <c r="E33" s="6">
        <v>1877</v>
      </c>
      <c r="F33" s="6" t="s">
        <v>0</v>
      </c>
      <c r="G33" s="6" t="s">
        <v>0</v>
      </c>
      <c r="H33" s="6" t="s">
        <v>0</v>
      </c>
      <c r="I33" s="6" t="s">
        <v>0</v>
      </c>
      <c r="J33" t="s">
        <v>4</v>
      </c>
    </row>
    <row r="34" spans="1:12" x14ac:dyDescent="0.25">
      <c r="A34">
        <v>1974</v>
      </c>
      <c r="B34" s="6">
        <v>1033</v>
      </c>
      <c r="C34" s="6">
        <v>1418</v>
      </c>
      <c r="D34" s="6">
        <v>1663</v>
      </c>
      <c r="E34" s="6" t="s">
        <v>0</v>
      </c>
      <c r="F34" s="6" t="s">
        <v>0</v>
      </c>
      <c r="G34" s="6" t="s">
        <v>0</v>
      </c>
      <c r="H34" s="6" t="s">
        <v>0</v>
      </c>
      <c r="I34" s="6" t="s">
        <v>0</v>
      </c>
      <c r="J34" t="s">
        <v>4</v>
      </c>
    </row>
    <row r="35" spans="1:12" x14ac:dyDescent="0.25">
      <c r="A35">
        <v>1975</v>
      </c>
      <c r="B35" s="6">
        <v>1138</v>
      </c>
      <c r="C35" s="6">
        <v>1472</v>
      </c>
      <c r="D35" s="6" t="s">
        <v>0</v>
      </c>
      <c r="E35" s="6" t="s">
        <v>0</v>
      </c>
      <c r="F35" s="6" t="s">
        <v>0</v>
      </c>
      <c r="G35" s="6" t="s">
        <v>0</v>
      </c>
      <c r="H35" s="6" t="s">
        <v>0</v>
      </c>
      <c r="I35" s="6" t="s">
        <v>0</v>
      </c>
      <c r="J35" t="s">
        <v>4</v>
      </c>
    </row>
    <row r="36" spans="1:12" x14ac:dyDescent="0.25">
      <c r="A36">
        <v>1976</v>
      </c>
      <c r="B36" s="6">
        <v>1196</v>
      </c>
      <c r="C36" s="6" t="s">
        <v>0</v>
      </c>
      <c r="D36" s="6" t="s">
        <v>0</v>
      </c>
      <c r="E36" s="6" t="s">
        <v>0</v>
      </c>
      <c r="F36" s="6" t="s">
        <v>0</v>
      </c>
      <c r="G36" s="6" t="s">
        <v>0</v>
      </c>
      <c r="H36" s="6" t="s">
        <v>0</v>
      </c>
      <c r="I36" s="6" t="s">
        <v>0</v>
      </c>
      <c r="J36" t="s">
        <v>4</v>
      </c>
    </row>
    <row r="37" spans="1:12" x14ac:dyDescent="0.25">
      <c r="B37" s="6"/>
      <c r="C37" s="6"/>
      <c r="D37" s="6"/>
      <c r="E37" s="6"/>
      <c r="F37" s="6"/>
      <c r="G37" s="6"/>
      <c r="H37" s="6"/>
      <c r="I37" s="6"/>
    </row>
    <row r="38" spans="1:12" x14ac:dyDescent="0.25">
      <c r="A38" cm="1">
        <f t="array" ref="A38:A45">$A$2:$A$9</f>
        <v>1969</v>
      </c>
      <c r="B38" s="6">
        <f>IFERROR(B20/B29,"NA")</f>
        <v>3700.9345794392525</v>
      </c>
      <c r="C38" s="6">
        <f t="shared" ref="C38:I38" si="21">IFERROR(C20/C29,"NA")</f>
        <v>5659.5238095238092</v>
      </c>
      <c r="D38" s="6">
        <f t="shared" si="21"/>
        <v>9261.7382617382609</v>
      </c>
      <c r="E38" s="6">
        <f t="shared" si="21"/>
        <v>10150.912106135987</v>
      </c>
      <c r="F38" s="7">
        <f t="shared" si="21"/>
        <v>11744.680851063829</v>
      </c>
      <c r="G38" s="6">
        <f t="shared" si="21"/>
        <v>16627.450980392157</v>
      </c>
      <c r="H38" s="6">
        <f t="shared" si="21"/>
        <v>19238.273921200751</v>
      </c>
      <c r="I38" s="6">
        <f t="shared" si="21"/>
        <v>21423.398328690808</v>
      </c>
      <c r="J38" t="s">
        <v>5</v>
      </c>
      <c r="L38" s="14">
        <f>B46/B58*B77</f>
        <v>3700.9345794392525</v>
      </c>
    </row>
    <row r="39" spans="1:12" x14ac:dyDescent="0.25">
      <c r="A39">
        <v>1970</v>
      </c>
      <c r="B39" s="6">
        <f t="shared" ref="B39:I45" si="22">IFERROR(B21/B30,"NA")</f>
        <v>7250</v>
      </c>
      <c r="C39" s="6">
        <f t="shared" si="22"/>
        <v>10635.318704284222</v>
      </c>
      <c r="D39" s="6">
        <f t="shared" si="22"/>
        <v>12959.965187119235</v>
      </c>
      <c r="E39" s="6">
        <f t="shared" si="22"/>
        <v>14221.481481481482</v>
      </c>
      <c r="F39" s="6">
        <f t="shared" si="22"/>
        <v>17066.666666666668</v>
      </c>
      <c r="G39" s="6">
        <f t="shared" si="22"/>
        <v>23410.596026490068</v>
      </c>
      <c r="H39" s="6">
        <f t="shared" si="22"/>
        <v>24551.020408163266</v>
      </c>
      <c r="I39" s="6" t="str">
        <f t="shared" si="22"/>
        <v>NA</v>
      </c>
      <c r="J39" t="s">
        <v>5</v>
      </c>
    </row>
    <row r="40" spans="1:12" x14ac:dyDescent="0.25">
      <c r="A40">
        <v>1971</v>
      </c>
      <c r="B40" s="6">
        <f t="shared" si="22"/>
        <v>5876.9931662870158</v>
      </c>
      <c r="C40" s="6">
        <f t="shared" si="22"/>
        <v>8121.8961625282163</v>
      </c>
      <c r="D40" s="6">
        <f t="shared" si="22"/>
        <v>10612.790697674418</v>
      </c>
      <c r="E40" s="6">
        <f t="shared" si="22"/>
        <v>14372.984991662035</v>
      </c>
      <c r="F40" s="6">
        <f t="shared" si="22"/>
        <v>21705.882352941175</v>
      </c>
      <c r="G40" s="6">
        <f t="shared" si="22"/>
        <v>29043.560606060608</v>
      </c>
      <c r="H40" s="6" t="str">
        <f t="shared" si="22"/>
        <v>NA</v>
      </c>
      <c r="I40" s="6" t="str">
        <f t="shared" si="22"/>
        <v>NA</v>
      </c>
      <c r="J40" t="s">
        <v>5</v>
      </c>
    </row>
    <row r="41" spans="1:12" x14ac:dyDescent="0.25">
      <c r="A41">
        <v>1972</v>
      </c>
      <c r="B41" s="6">
        <f t="shared" si="22"/>
        <v>8324.0651965484176</v>
      </c>
      <c r="C41" s="6">
        <f t="shared" si="22"/>
        <v>11433.055733504165</v>
      </c>
      <c r="D41" s="6">
        <f t="shared" si="22"/>
        <v>15499.45295404814</v>
      </c>
      <c r="E41" s="6">
        <f t="shared" si="22"/>
        <v>25039.59873284055</v>
      </c>
      <c r="F41" s="6">
        <f t="shared" si="22"/>
        <v>28019.05387647832</v>
      </c>
      <c r="G41" s="6" t="str">
        <f t="shared" si="22"/>
        <v>NA</v>
      </c>
      <c r="H41" s="6" t="str">
        <f t="shared" si="22"/>
        <v>NA</v>
      </c>
      <c r="I41" s="6" t="str">
        <f t="shared" si="22"/>
        <v>NA</v>
      </c>
      <c r="J41" t="s">
        <v>5</v>
      </c>
    </row>
    <row r="42" spans="1:12" x14ac:dyDescent="0.25">
      <c r="A42">
        <v>1973</v>
      </c>
      <c r="B42" s="6">
        <f t="shared" si="22"/>
        <v>10124.080882352941</v>
      </c>
      <c r="C42" s="6">
        <f t="shared" si="22"/>
        <v>13785.302593659942</v>
      </c>
      <c r="D42" s="6">
        <f t="shared" si="22"/>
        <v>30223.376623376622</v>
      </c>
      <c r="E42" s="6">
        <f t="shared" si="22"/>
        <v>33266.382525306341</v>
      </c>
      <c r="F42" s="6" t="str">
        <f t="shared" si="22"/>
        <v>NA</v>
      </c>
      <c r="G42" s="6" t="str">
        <f t="shared" si="22"/>
        <v>NA</v>
      </c>
      <c r="H42" s="6" t="str">
        <f t="shared" si="22"/>
        <v>NA</v>
      </c>
      <c r="I42" s="6" t="str">
        <f t="shared" si="22"/>
        <v>NA</v>
      </c>
      <c r="J42" t="s">
        <v>5</v>
      </c>
    </row>
    <row r="43" spans="1:12" x14ac:dyDescent="0.25">
      <c r="A43">
        <v>1974</v>
      </c>
      <c r="B43" s="6">
        <f t="shared" si="22"/>
        <v>8261.37463697967</v>
      </c>
      <c r="C43" s="6">
        <f t="shared" si="22"/>
        <v>22476.727785613541</v>
      </c>
      <c r="D43" s="6">
        <f t="shared" si="22"/>
        <v>34401.683704149131</v>
      </c>
      <c r="E43" s="6" t="str">
        <f t="shared" si="22"/>
        <v>NA</v>
      </c>
      <c r="F43" s="6" t="str">
        <f t="shared" si="22"/>
        <v>NA</v>
      </c>
      <c r="G43" s="6" t="str">
        <f t="shared" si="22"/>
        <v>NA</v>
      </c>
      <c r="H43" s="6" t="str">
        <f t="shared" si="22"/>
        <v>NA</v>
      </c>
      <c r="I43" s="6" t="str">
        <f t="shared" si="22"/>
        <v>NA</v>
      </c>
      <c r="J43" t="s">
        <v>5</v>
      </c>
    </row>
    <row r="44" spans="1:12" x14ac:dyDescent="0.25">
      <c r="A44">
        <v>1975</v>
      </c>
      <c r="B44" s="6">
        <f t="shared" si="22"/>
        <v>11175.746924428822</v>
      </c>
      <c r="C44" s="6">
        <f t="shared" si="22"/>
        <v>32159.646739130436</v>
      </c>
      <c r="D44" s="6" t="str">
        <f t="shared" si="22"/>
        <v>NA</v>
      </c>
      <c r="E44" s="6" t="str">
        <f t="shared" si="22"/>
        <v>NA</v>
      </c>
      <c r="F44" s="6" t="str">
        <f t="shared" si="22"/>
        <v>NA</v>
      </c>
      <c r="G44" s="6" t="str">
        <f t="shared" si="22"/>
        <v>NA</v>
      </c>
      <c r="H44" s="6" t="str">
        <f t="shared" si="22"/>
        <v>NA</v>
      </c>
      <c r="I44" s="6" t="str">
        <f t="shared" si="22"/>
        <v>NA</v>
      </c>
      <c r="J44" t="s">
        <v>5</v>
      </c>
    </row>
    <row r="45" spans="1:12" x14ac:dyDescent="0.25">
      <c r="A45">
        <v>1976</v>
      </c>
      <c r="B45" s="6">
        <f t="shared" si="22"/>
        <v>13028.428093645485</v>
      </c>
      <c r="C45" s="6" t="str">
        <f t="shared" si="22"/>
        <v>NA</v>
      </c>
      <c r="D45" s="6" t="str">
        <f t="shared" si="22"/>
        <v>NA</v>
      </c>
      <c r="E45" s="6" t="str">
        <f t="shared" si="22"/>
        <v>NA</v>
      </c>
      <c r="F45" s="6" t="str">
        <f t="shared" si="22"/>
        <v>NA</v>
      </c>
      <c r="G45" s="6" t="str">
        <f t="shared" si="22"/>
        <v>NA</v>
      </c>
      <c r="H45" s="6" t="str">
        <f t="shared" si="22"/>
        <v>NA</v>
      </c>
      <c r="I45" s="6" t="str">
        <f t="shared" si="22"/>
        <v>NA</v>
      </c>
      <c r="J45" t="s">
        <v>5</v>
      </c>
    </row>
    <row r="46" spans="1:12" x14ac:dyDescent="0.25">
      <c r="A46" s="8" t="s">
        <v>10</v>
      </c>
      <c r="B46" s="9" cm="1">
        <f t="array" ref="B46">INDEX(B$38:B$45,8-B$1/12+1)</f>
        <v>13028.428093645485</v>
      </c>
      <c r="C46" s="9" cm="1">
        <f t="array" ref="C46">INDEX(C$38:C$45,8-C$1/12+1)</f>
        <v>32159.646739130436</v>
      </c>
      <c r="D46" s="9" cm="1">
        <f t="array" ref="D46">INDEX(D$38:D$45,8-D$1/12+1)</f>
        <v>34401.683704149131</v>
      </c>
      <c r="E46" s="9" cm="1">
        <f t="array" ref="E46">INDEX(E$38:E$45,8-E$1/12+1)</f>
        <v>33266.382525306341</v>
      </c>
      <c r="F46" s="9" cm="1">
        <f t="array" ref="F46">INDEX(F$38:F$45,8-F$1/12+1)</f>
        <v>28019.05387647832</v>
      </c>
      <c r="G46" s="9" cm="1">
        <f t="array" ref="G46">INDEX(G$38:G$45,8-G$1/12+1)</f>
        <v>29043.560606060608</v>
      </c>
      <c r="H46" s="9" cm="1">
        <f t="array" ref="H46">INDEX(H$38:H$45,8-H$1/12+1)</f>
        <v>24551.020408163266</v>
      </c>
      <c r="I46" s="9" cm="1">
        <f t="array" ref="I46">INDEX(I$38:I$45,8-I$1/12+1)</f>
        <v>21423.398328690808</v>
      </c>
    </row>
    <row r="47" spans="1:12" x14ac:dyDescent="0.25">
      <c r="B47" s="1"/>
      <c r="C47" s="1"/>
      <c r="D47" s="1"/>
      <c r="E47" s="1"/>
      <c r="F47" s="1"/>
      <c r="G47" s="1"/>
      <c r="H47" s="1"/>
      <c r="I47" s="1"/>
    </row>
    <row r="48" spans="1:12" x14ac:dyDescent="0.25">
      <c r="A48" cm="1">
        <f t="array" ref="A48:A55">$A$2:$A$9</f>
        <v>1969</v>
      </c>
      <c r="B48" s="10">
        <f t="shared" ref="B48:I55" si="23">IF(($A48+COLUMN()-1-1)&gt;1976,"NA",$A48+COLUMN()-1-1)</f>
        <v>1969</v>
      </c>
      <c r="C48" s="10">
        <f t="shared" si="23"/>
        <v>1970</v>
      </c>
      <c r="D48" s="10">
        <f t="shared" si="23"/>
        <v>1971</v>
      </c>
      <c r="E48" s="10">
        <f t="shared" si="23"/>
        <v>1972</v>
      </c>
      <c r="F48" s="10">
        <f t="shared" si="23"/>
        <v>1973</v>
      </c>
      <c r="G48" s="10">
        <f t="shared" si="23"/>
        <v>1974</v>
      </c>
      <c r="H48" s="10">
        <f t="shared" si="23"/>
        <v>1975</v>
      </c>
      <c r="I48" s="10">
        <f t="shared" si="23"/>
        <v>1976</v>
      </c>
      <c r="J48" t="s">
        <v>13</v>
      </c>
    </row>
    <row r="49" spans="1:10" x14ac:dyDescent="0.25">
      <c r="A49">
        <v>1970</v>
      </c>
      <c r="B49" s="10">
        <f t="shared" si="23"/>
        <v>1970</v>
      </c>
      <c r="C49" s="10">
        <f t="shared" si="23"/>
        <v>1971</v>
      </c>
      <c r="D49" s="10">
        <f t="shared" si="23"/>
        <v>1972</v>
      </c>
      <c r="E49" s="10">
        <f t="shared" si="23"/>
        <v>1973</v>
      </c>
      <c r="F49" s="10">
        <f t="shared" si="23"/>
        <v>1974</v>
      </c>
      <c r="G49" s="10">
        <f t="shared" si="23"/>
        <v>1975</v>
      </c>
      <c r="H49" s="10">
        <f t="shared" si="23"/>
        <v>1976</v>
      </c>
      <c r="I49" s="10" t="str">
        <f t="shared" si="23"/>
        <v>NA</v>
      </c>
      <c r="J49" t="s">
        <v>13</v>
      </c>
    </row>
    <row r="50" spans="1:10" x14ac:dyDescent="0.25">
      <c r="A50">
        <v>1971</v>
      </c>
      <c r="B50" s="10">
        <f t="shared" si="23"/>
        <v>1971</v>
      </c>
      <c r="C50" s="10">
        <f t="shared" si="23"/>
        <v>1972</v>
      </c>
      <c r="D50" s="10">
        <f t="shared" si="23"/>
        <v>1973</v>
      </c>
      <c r="E50" s="10">
        <f t="shared" si="23"/>
        <v>1974</v>
      </c>
      <c r="F50" s="10">
        <f t="shared" si="23"/>
        <v>1975</v>
      </c>
      <c r="G50" s="10">
        <f t="shared" si="23"/>
        <v>1976</v>
      </c>
      <c r="H50" s="10" t="str">
        <f t="shared" si="23"/>
        <v>NA</v>
      </c>
      <c r="I50" s="10" t="str">
        <f t="shared" si="23"/>
        <v>NA</v>
      </c>
      <c r="J50" t="s">
        <v>13</v>
      </c>
    </row>
    <row r="51" spans="1:10" x14ac:dyDescent="0.25">
      <c r="A51">
        <v>1972</v>
      </c>
      <c r="B51" s="10">
        <f t="shared" si="23"/>
        <v>1972</v>
      </c>
      <c r="C51" s="10">
        <f t="shared" si="23"/>
        <v>1973</v>
      </c>
      <c r="D51" s="10">
        <f t="shared" si="23"/>
        <v>1974</v>
      </c>
      <c r="E51" s="10">
        <f t="shared" si="23"/>
        <v>1975</v>
      </c>
      <c r="F51" s="10">
        <f t="shared" si="23"/>
        <v>1976</v>
      </c>
      <c r="G51" s="10" t="str">
        <f t="shared" si="23"/>
        <v>NA</v>
      </c>
      <c r="H51" s="10" t="str">
        <f t="shared" si="23"/>
        <v>NA</v>
      </c>
      <c r="I51" s="10" t="str">
        <f t="shared" si="23"/>
        <v>NA</v>
      </c>
      <c r="J51" t="s">
        <v>13</v>
      </c>
    </row>
    <row r="52" spans="1:10" x14ac:dyDescent="0.25">
      <c r="A52">
        <v>1973</v>
      </c>
      <c r="B52" s="10">
        <f t="shared" si="23"/>
        <v>1973</v>
      </c>
      <c r="C52" s="10">
        <f t="shared" si="23"/>
        <v>1974</v>
      </c>
      <c r="D52" s="10">
        <f t="shared" si="23"/>
        <v>1975</v>
      </c>
      <c r="E52" s="10">
        <f t="shared" si="23"/>
        <v>1976</v>
      </c>
      <c r="F52" s="10" t="str">
        <f t="shared" si="23"/>
        <v>NA</v>
      </c>
      <c r="G52" s="10" t="str">
        <f t="shared" si="23"/>
        <v>NA</v>
      </c>
      <c r="H52" s="10" t="str">
        <f t="shared" si="23"/>
        <v>NA</v>
      </c>
      <c r="I52" s="10" t="str">
        <f t="shared" si="23"/>
        <v>NA</v>
      </c>
      <c r="J52" t="s">
        <v>13</v>
      </c>
    </row>
    <row r="53" spans="1:10" x14ac:dyDescent="0.25">
      <c r="A53">
        <v>1974</v>
      </c>
      <c r="B53" s="10">
        <f t="shared" si="23"/>
        <v>1974</v>
      </c>
      <c r="C53" s="10">
        <f t="shared" si="23"/>
        <v>1975</v>
      </c>
      <c r="D53" s="10">
        <f t="shared" si="23"/>
        <v>1976</v>
      </c>
      <c r="E53" s="10" t="str">
        <f t="shared" si="23"/>
        <v>NA</v>
      </c>
      <c r="F53" s="10" t="str">
        <f t="shared" si="23"/>
        <v>NA</v>
      </c>
      <c r="G53" s="10" t="str">
        <f t="shared" si="23"/>
        <v>NA</v>
      </c>
      <c r="H53" s="10" t="str">
        <f t="shared" si="23"/>
        <v>NA</v>
      </c>
      <c r="I53" s="10" t="str">
        <f t="shared" si="23"/>
        <v>NA</v>
      </c>
      <c r="J53" t="s">
        <v>13</v>
      </c>
    </row>
    <row r="54" spans="1:10" x14ac:dyDescent="0.25">
      <c r="A54">
        <v>1975</v>
      </c>
      <c r="B54" s="10">
        <f t="shared" si="23"/>
        <v>1975</v>
      </c>
      <c r="C54" s="10">
        <f t="shared" si="23"/>
        <v>1976</v>
      </c>
      <c r="D54" s="10" t="str">
        <f t="shared" si="23"/>
        <v>NA</v>
      </c>
      <c r="E54" s="10" t="str">
        <f t="shared" si="23"/>
        <v>NA</v>
      </c>
      <c r="F54" s="10" t="str">
        <f t="shared" si="23"/>
        <v>NA</v>
      </c>
      <c r="G54" s="10" t="str">
        <f t="shared" si="23"/>
        <v>NA</v>
      </c>
      <c r="H54" s="10" t="str">
        <f t="shared" si="23"/>
        <v>NA</v>
      </c>
      <c r="I54" s="10" t="str">
        <f t="shared" si="23"/>
        <v>NA</v>
      </c>
      <c r="J54" t="s">
        <v>13</v>
      </c>
    </row>
    <row r="55" spans="1:10" x14ac:dyDescent="0.25">
      <c r="A55">
        <v>1976</v>
      </c>
      <c r="B55" s="10">
        <f>IF(($A55+COLUMN()-1-1)&gt;1976,"NA",$A55+COLUMN()-1-1)</f>
        <v>1976</v>
      </c>
      <c r="C55" s="10" t="str">
        <f t="shared" si="23"/>
        <v>NA</v>
      </c>
      <c r="D55" s="10" t="str">
        <f t="shared" si="23"/>
        <v>NA</v>
      </c>
      <c r="E55" s="10" t="str">
        <f t="shared" si="23"/>
        <v>NA</v>
      </c>
      <c r="F55" s="10" t="str">
        <f t="shared" si="23"/>
        <v>NA</v>
      </c>
      <c r="G55" s="10" t="str">
        <f t="shared" si="23"/>
        <v>NA</v>
      </c>
      <c r="H55" s="10" t="str">
        <f t="shared" si="23"/>
        <v>NA</v>
      </c>
      <c r="I55" s="10" t="str">
        <f t="shared" si="23"/>
        <v>NA</v>
      </c>
      <c r="J55" t="s">
        <v>13</v>
      </c>
    </row>
    <row r="56" spans="1:10" x14ac:dyDescent="0.25">
      <c r="A56" s="8" t="s">
        <v>10</v>
      </c>
      <c r="B56" s="11" cm="1">
        <f t="array" ref="B56">INDEX(B$48:B$55,8-B$1/12+1)</f>
        <v>1976</v>
      </c>
      <c r="C56" s="11" cm="1">
        <f t="array" ref="C56">INDEX(C$48:C$55,8-C$1/12+1)</f>
        <v>1976</v>
      </c>
      <c r="D56" s="11" cm="1">
        <f t="array" ref="D56">INDEX(D$48:D$55,8-D$1/12+1)</f>
        <v>1976</v>
      </c>
      <c r="E56" s="11" cm="1">
        <f t="array" ref="E56">INDEX(E$48:E$55,8-E$1/12+1)</f>
        <v>1976</v>
      </c>
      <c r="F56" s="11" cm="1">
        <f t="array" ref="F56">INDEX(F$48:F$55,8-F$1/12+1)</f>
        <v>1976</v>
      </c>
      <c r="G56" s="11" cm="1">
        <f t="array" ref="G56">INDEX(G$48:G$55,8-G$1/12+1)</f>
        <v>1976</v>
      </c>
      <c r="H56" s="11" cm="1">
        <f t="array" ref="H56">INDEX(H$48:H$55,8-H$1/12+1)</f>
        <v>1976</v>
      </c>
      <c r="I56" s="11" cm="1">
        <f t="array" ref="I56">INDEX(I$48:I$55,8-I$1/12+1)</f>
        <v>1976</v>
      </c>
    </row>
    <row r="57" spans="1:10" x14ac:dyDescent="0.25">
      <c r="B57" s="1"/>
      <c r="C57" s="1"/>
      <c r="D57" s="1"/>
      <c r="E57" s="1"/>
      <c r="F57" s="1"/>
      <c r="G57" s="1"/>
      <c r="H57" s="1"/>
      <c r="I57" s="1"/>
    </row>
    <row r="58" spans="1:10" x14ac:dyDescent="0.25">
      <c r="A58" cm="1">
        <f t="array" ref="A58:A65">$A$2:$A$9</f>
        <v>1969</v>
      </c>
      <c r="B58" s="12">
        <f t="shared" ref="B58:H58" si="24">IFERROR((1.15)^(B$56-B48),"NA")</f>
        <v>2.6600198804687483</v>
      </c>
      <c r="C58" s="12">
        <f t="shared" si="24"/>
        <v>2.3130607656249991</v>
      </c>
      <c r="D58" s="12">
        <f t="shared" si="24"/>
        <v>2.0113571874999994</v>
      </c>
      <c r="E58" s="12">
        <f t="shared" si="24"/>
        <v>1.7490062499999994</v>
      </c>
      <c r="F58" s="12">
        <f t="shared" si="24"/>
        <v>1.5208749999999995</v>
      </c>
      <c r="G58" s="12">
        <f t="shared" si="24"/>
        <v>1.3224999999999998</v>
      </c>
      <c r="H58" s="17">
        <f t="shared" si="24"/>
        <v>1.1499999999999999</v>
      </c>
      <c r="I58" s="12">
        <f>IFERROR((1.15)^(I$56-I48),"NA")</f>
        <v>1</v>
      </c>
      <c r="J58" t="s">
        <v>8</v>
      </c>
    </row>
    <row r="59" spans="1:10" x14ac:dyDescent="0.25">
      <c r="A59">
        <v>1970</v>
      </c>
      <c r="B59" s="12">
        <f t="shared" ref="B59:I59" si="25">IFERROR((1.15)^(B$56-B49),"NA")</f>
        <v>2.3130607656249991</v>
      </c>
      <c r="C59" s="12">
        <f t="shared" si="25"/>
        <v>2.0113571874999994</v>
      </c>
      <c r="D59" s="12">
        <f t="shared" si="25"/>
        <v>1.7490062499999994</v>
      </c>
      <c r="E59" s="12">
        <f t="shared" si="25"/>
        <v>1.5208749999999995</v>
      </c>
      <c r="F59" s="12">
        <f t="shared" si="25"/>
        <v>1.3224999999999998</v>
      </c>
      <c r="G59" s="17">
        <f t="shared" si="25"/>
        <v>1.1499999999999999</v>
      </c>
      <c r="H59" s="12">
        <f t="shared" si="25"/>
        <v>1</v>
      </c>
      <c r="I59" s="12" t="str">
        <f t="shared" si="25"/>
        <v>NA</v>
      </c>
      <c r="J59" t="s">
        <v>8</v>
      </c>
    </row>
    <row r="60" spans="1:10" x14ac:dyDescent="0.25">
      <c r="A60">
        <v>1971</v>
      </c>
      <c r="B60" s="12">
        <f t="shared" ref="B60:I60" si="26">IFERROR((1.15)^(B$56-B50),"NA")</f>
        <v>2.0113571874999994</v>
      </c>
      <c r="C60" s="12">
        <f t="shared" si="26"/>
        <v>1.7490062499999994</v>
      </c>
      <c r="D60" s="12">
        <f t="shared" si="26"/>
        <v>1.5208749999999995</v>
      </c>
      <c r="E60" s="12">
        <f t="shared" si="26"/>
        <v>1.3224999999999998</v>
      </c>
      <c r="F60" s="17">
        <f t="shared" si="26"/>
        <v>1.1499999999999999</v>
      </c>
      <c r="G60" s="12">
        <f t="shared" si="26"/>
        <v>1</v>
      </c>
      <c r="H60" s="12" t="str">
        <f t="shared" si="26"/>
        <v>NA</v>
      </c>
      <c r="I60" s="12" t="str">
        <f t="shared" si="26"/>
        <v>NA</v>
      </c>
      <c r="J60" t="s">
        <v>8</v>
      </c>
    </row>
    <row r="61" spans="1:10" x14ac:dyDescent="0.25">
      <c r="A61">
        <v>1972</v>
      </c>
      <c r="B61" s="12">
        <f t="shared" ref="B61:I61" si="27">IFERROR((1.15)^(B$56-B51),"NA")</f>
        <v>1.7490062499999994</v>
      </c>
      <c r="C61" s="12">
        <f t="shared" si="27"/>
        <v>1.5208749999999995</v>
      </c>
      <c r="D61" s="12">
        <f t="shared" si="27"/>
        <v>1.3224999999999998</v>
      </c>
      <c r="E61" s="17">
        <f t="shared" si="27"/>
        <v>1.1499999999999999</v>
      </c>
      <c r="F61" s="12">
        <f t="shared" si="27"/>
        <v>1</v>
      </c>
      <c r="G61" s="12" t="str">
        <f t="shared" si="27"/>
        <v>NA</v>
      </c>
      <c r="H61" s="12" t="str">
        <f t="shared" si="27"/>
        <v>NA</v>
      </c>
      <c r="I61" s="12" t="str">
        <f t="shared" si="27"/>
        <v>NA</v>
      </c>
      <c r="J61" t="s">
        <v>8</v>
      </c>
    </row>
    <row r="62" spans="1:10" x14ac:dyDescent="0.25">
      <c r="A62">
        <v>1973</v>
      </c>
      <c r="B62" s="12">
        <f t="shared" ref="B62:I62" si="28">IFERROR((1.15)^(B$56-B52),"NA")</f>
        <v>1.5208749999999995</v>
      </c>
      <c r="C62" s="12">
        <f t="shared" si="28"/>
        <v>1.3224999999999998</v>
      </c>
      <c r="D62" s="17">
        <f t="shared" si="28"/>
        <v>1.1499999999999999</v>
      </c>
      <c r="E62" s="12">
        <f t="shared" si="28"/>
        <v>1</v>
      </c>
      <c r="F62" s="12" t="str">
        <f t="shared" si="28"/>
        <v>NA</v>
      </c>
      <c r="G62" s="12" t="str">
        <f t="shared" si="28"/>
        <v>NA</v>
      </c>
      <c r="H62" s="12" t="str">
        <f t="shared" si="28"/>
        <v>NA</v>
      </c>
      <c r="I62" s="12" t="str">
        <f t="shared" si="28"/>
        <v>NA</v>
      </c>
      <c r="J62" t="s">
        <v>8</v>
      </c>
    </row>
    <row r="63" spans="1:10" x14ac:dyDescent="0.25">
      <c r="A63">
        <v>1974</v>
      </c>
      <c r="B63" s="12">
        <f t="shared" ref="B63:I63" si="29">IFERROR((1.15)^(B$56-B53),"NA")</f>
        <v>1.3224999999999998</v>
      </c>
      <c r="C63" s="17">
        <f t="shared" si="29"/>
        <v>1.1499999999999999</v>
      </c>
      <c r="D63" s="12">
        <f t="shared" si="29"/>
        <v>1</v>
      </c>
      <c r="E63" s="12" t="str">
        <f t="shared" si="29"/>
        <v>NA</v>
      </c>
      <c r="F63" s="12" t="str">
        <f t="shared" si="29"/>
        <v>NA</v>
      </c>
      <c r="G63" s="12" t="str">
        <f t="shared" si="29"/>
        <v>NA</v>
      </c>
      <c r="H63" s="12" t="str">
        <f t="shared" si="29"/>
        <v>NA</v>
      </c>
      <c r="I63" s="12" t="str">
        <f t="shared" si="29"/>
        <v>NA</v>
      </c>
      <c r="J63" t="s">
        <v>8</v>
      </c>
    </row>
    <row r="64" spans="1:10" x14ac:dyDescent="0.25">
      <c r="A64">
        <v>1975</v>
      </c>
      <c r="B64" s="17">
        <f t="shared" ref="B64:I64" si="30">IFERROR((1.15)^(B$56-B54),"NA")</f>
        <v>1.1499999999999999</v>
      </c>
      <c r="C64" s="12">
        <f t="shared" si="30"/>
        <v>1</v>
      </c>
      <c r="D64" s="12" t="str">
        <f t="shared" si="30"/>
        <v>NA</v>
      </c>
      <c r="E64" s="12" t="str">
        <f t="shared" si="30"/>
        <v>NA</v>
      </c>
      <c r="F64" s="12" t="str">
        <f t="shared" si="30"/>
        <v>NA</v>
      </c>
      <c r="G64" s="12" t="str">
        <f t="shared" si="30"/>
        <v>NA</v>
      </c>
      <c r="H64" s="12" t="str">
        <f t="shared" si="30"/>
        <v>NA</v>
      </c>
      <c r="I64" s="12" t="str">
        <f t="shared" si="30"/>
        <v>NA</v>
      </c>
      <c r="J64" t="s">
        <v>8</v>
      </c>
    </row>
    <row r="65" spans="1:10" x14ac:dyDescent="0.25">
      <c r="A65">
        <v>1976</v>
      </c>
      <c r="B65" s="12">
        <f t="shared" ref="B65:I65" si="31">IFERROR((1.15)^(B$56-B55),"NA")</f>
        <v>1</v>
      </c>
      <c r="C65" s="12" t="str">
        <f t="shared" si="31"/>
        <v>NA</v>
      </c>
      <c r="D65" s="12" t="str">
        <f t="shared" si="31"/>
        <v>NA</v>
      </c>
      <c r="E65" s="12" t="str">
        <f t="shared" si="31"/>
        <v>NA</v>
      </c>
      <c r="F65" s="12" t="str">
        <f t="shared" si="31"/>
        <v>NA</v>
      </c>
      <c r="G65" s="12" t="str">
        <f t="shared" si="31"/>
        <v>NA</v>
      </c>
      <c r="H65" s="12" t="str">
        <f t="shared" si="31"/>
        <v>NA</v>
      </c>
      <c r="I65" s="12" t="str">
        <f t="shared" si="31"/>
        <v>NA</v>
      </c>
      <c r="J65" t="s">
        <v>8</v>
      </c>
    </row>
    <row r="67" spans="1:10" x14ac:dyDescent="0.25">
      <c r="A67" cm="1">
        <f t="array" ref="A67:A74">$A$2:$A$9</f>
        <v>1969</v>
      </c>
      <c r="B67" s="13">
        <f>IFERROR(B38*B58,"NA")</f>
        <v>9844.5595576226569</v>
      </c>
      <c r="C67" s="13">
        <f t="shared" ref="C67:I67" si="32">IFERROR(C38*C58,"NA")</f>
        <v>13090.822475930054</v>
      </c>
      <c r="D67" s="13">
        <f t="shared" si="32"/>
        <v>18628.663821491002</v>
      </c>
      <c r="E67" s="13">
        <f t="shared" si="32"/>
        <v>17754.008716832501</v>
      </c>
      <c r="F67" s="13">
        <f t="shared" si="32"/>
        <v>17862.191489361696</v>
      </c>
      <c r="G67" s="13">
        <f t="shared" si="32"/>
        <v>21989.803921568626</v>
      </c>
      <c r="H67" s="13">
        <f t="shared" si="32"/>
        <v>22124.015009380862</v>
      </c>
      <c r="I67" s="13">
        <f t="shared" si="32"/>
        <v>21423.398328690808</v>
      </c>
      <c r="J67" t="s">
        <v>6</v>
      </c>
    </row>
    <row r="68" spans="1:10" x14ac:dyDescent="0.25">
      <c r="A68">
        <v>1970</v>
      </c>
      <c r="B68" s="13">
        <f t="shared" ref="B68:I68" si="33">IFERROR(B39*B59,"NA")</f>
        <v>16769.690550781244</v>
      </c>
      <c r="C68" s="13">
        <f t="shared" si="33"/>
        <v>21391.42471721525</v>
      </c>
      <c r="D68" s="13">
        <f t="shared" si="33"/>
        <v>22667.060112053954</v>
      </c>
      <c r="E68" s="13">
        <f t="shared" si="33"/>
        <v>21629.095648148141</v>
      </c>
      <c r="F68" s="13">
        <f t="shared" si="33"/>
        <v>22570.666666666664</v>
      </c>
      <c r="G68" s="13">
        <f t="shared" si="33"/>
        <v>26922.185430463574</v>
      </c>
      <c r="H68" s="13">
        <f t="shared" si="33"/>
        <v>24551.020408163266</v>
      </c>
      <c r="I68" s="13" t="str">
        <f t="shared" si="33"/>
        <v>NA</v>
      </c>
      <c r="J68" t="s">
        <v>6</v>
      </c>
    </row>
    <row r="69" spans="1:10" x14ac:dyDescent="0.25">
      <c r="A69">
        <v>1971</v>
      </c>
      <c r="B69" s="13">
        <f t="shared" ref="B69:I69" si="34">IFERROR(B40*B60,"NA")</f>
        <v>11820.732445899768</v>
      </c>
      <c r="C69" s="13">
        <f t="shared" si="34"/>
        <v>14205.247150112862</v>
      </c>
      <c r="D69" s="13">
        <f t="shared" si="34"/>
        <v>16140.728052325576</v>
      </c>
      <c r="E69" s="13">
        <f t="shared" si="34"/>
        <v>19008.272651473038</v>
      </c>
      <c r="F69" s="13">
        <f t="shared" si="34"/>
        <v>24961.76470588235</v>
      </c>
      <c r="G69" s="13">
        <f t="shared" si="34"/>
        <v>29043.560606060608</v>
      </c>
      <c r="H69" s="13" t="str">
        <f t="shared" si="34"/>
        <v>NA</v>
      </c>
      <c r="I69" s="13" t="str">
        <f t="shared" si="34"/>
        <v>NA</v>
      </c>
      <c r="J69" t="s">
        <v>6</v>
      </c>
    </row>
    <row r="70" spans="1:10" x14ac:dyDescent="0.25">
      <c r="A70">
        <v>1972</v>
      </c>
      <c r="B70" s="13">
        <f t="shared" ref="B70:I70" si="35">IFERROR(B41*B61,"NA")</f>
        <v>14558.842054170656</v>
      </c>
      <c r="C70" s="13">
        <f t="shared" si="35"/>
        <v>17388.248638693141</v>
      </c>
      <c r="D70" s="13">
        <f t="shared" si="35"/>
        <v>20498.026531728661</v>
      </c>
      <c r="E70" s="13">
        <f t="shared" si="35"/>
        <v>28795.53854276663</v>
      </c>
      <c r="F70" s="13">
        <f t="shared" si="35"/>
        <v>28019.05387647832</v>
      </c>
      <c r="G70" s="13" t="str">
        <f t="shared" si="35"/>
        <v>NA</v>
      </c>
      <c r="H70" s="13" t="str">
        <f t="shared" si="35"/>
        <v>NA</v>
      </c>
      <c r="I70" s="13" t="str">
        <f t="shared" si="35"/>
        <v>NA</v>
      </c>
      <c r="J70" t="s">
        <v>6</v>
      </c>
    </row>
    <row r="71" spans="1:10" x14ac:dyDescent="0.25">
      <c r="A71">
        <v>1973</v>
      </c>
      <c r="B71" s="13">
        <f t="shared" ref="B71:I71" si="36">IFERROR(B42*B62,"NA")</f>
        <v>15397.461511948524</v>
      </c>
      <c r="C71" s="13">
        <f t="shared" si="36"/>
        <v>18231.062680115272</v>
      </c>
      <c r="D71" s="13">
        <f t="shared" si="36"/>
        <v>34756.883116883109</v>
      </c>
      <c r="E71" s="13">
        <f t="shared" si="36"/>
        <v>33266.382525306341</v>
      </c>
      <c r="F71" s="13" t="str">
        <f t="shared" si="36"/>
        <v>NA</v>
      </c>
      <c r="G71" s="13" t="str">
        <f t="shared" si="36"/>
        <v>NA</v>
      </c>
      <c r="H71" s="13" t="str">
        <f t="shared" si="36"/>
        <v>NA</v>
      </c>
      <c r="I71" s="13" t="str">
        <f t="shared" si="36"/>
        <v>NA</v>
      </c>
      <c r="J71" t="s">
        <v>6</v>
      </c>
    </row>
    <row r="72" spans="1:10" x14ac:dyDescent="0.25">
      <c r="A72">
        <v>1974</v>
      </c>
      <c r="B72" s="13">
        <f t="shared" ref="B72:I72" si="37">IFERROR(B43*B63,"NA")</f>
        <v>10925.667957405612</v>
      </c>
      <c r="C72" s="13">
        <f t="shared" si="37"/>
        <v>25848.236953455569</v>
      </c>
      <c r="D72" s="13">
        <f t="shared" si="37"/>
        <v>34401.683704149131</v>
      </c>
      <c r="E72" s="13" t="str">
        <f t="shared" si="37"/>
        <v>NA</v>
      </c>
      <c r="F72" s="13" t="str">
        <f t="shared" si="37"/>
        <v>NA</v>
      </c>
      <c r="G72" s="13" t="str">
        <f t="shared" si="37"/>
        <v>NA</v>
      </c>
      <c r="H72" s="13" t="str">
        <f t="shared" si="37"/>
        <v>NA</v>
      </c>
      <c r="I72" s="13" t="str">
        <f t="shared" si="37"/>
        <v>NA</v>
      </c>
      <c r="J72" t="s">
        <v>6</v>
      </c>
    </row>
    <row r="73" spans="1:10" x14ac:dyDescent="0.25">
      <c r="A73">
        <v>1975</v>
      </c>
      <c r="B73" s="13">
        <f t="shared" ref="B73:I73" si="38">IFERROR(B44*B64,"NA")</f>
        <v>12852.108963093144</v>
      </c>
      <c r="C73" s="13">
        <f t="shared" si="38"/>
        <v>32159.646739130436</v>
      </c>
      <c r="D73" s="13" t="str">
        <f t="shared" si="38"/>
        <v>NA</v>
      </c>
      <c r="E73" s="13" t="str">
        <f t="shared" si="38"/>
        <v>NA</v>
      </c>
      <c r="F73" s="13" t="str">
        <f t="shared" si="38"/>
        <v>NA</v>
      </c>
      <c r="G73" s="13" t="str">
        <f t="shared" si="38"/>
        <v>NA</v>
      </c>
      <c r="H73" s="13" t="str">
        <f t="shared" si="38"/>
        <v>NA</v>
      </c>
      <c r="I73" s="13" t="str">
        <f t="shared" si="38"/>
        <v>NA</v>
      </c>
      <c r="J73" t="s">
        <v>6</v>
      </c>
    </row>
    <row r="74" spans="1:10" x14ac:dyDescent="0.25">
      <c r="A74">
        <v>1976</v>
      </c>
      <c r="B74" s="13">
        <f t="shared" ref="B74:I74" si="39">IFERROR(B45*B65,"NA")</f>
        <v>13028.428093645485</v>
      </c>
      <c r="C74" s="13" t="str">
        <f t="shared" si="39"/>
        <v>NA</v>
      </c>
      <c r="D74" s="13" t="str">
        <f t="shared" si="39"/>
        <v>NA</v>
      </c>
      <c r="E74" s="13" t="str">
        <f t="shared" si="39"/>
        <v>NA</v>
      </c>
      <c r="F74" s="13" t="str">
        <f t="shared" si="39"/>
        <v>NA</v>
      </c>
      <c r="G74" s="13" t="str">
        <f t="shared" si="39"/>
        <v>NA</v>
      </c>
      <c r="H74" s="13" t="str">
        <f t="shared" si="39"/>
        <v>NA</v>
      </c>
      <c r="I74" s="13" t="str">
        <f t="shared" si="39"/>
        <v>NA</v>
      </c>
      <c r="J74" t="s">
        <v>6</v>
      </c>
    </row>
    <row r="77" spans="1:10" x14ac:dyDescent="0.25">
      <c r="A77" cm="1">
        <f t="array" ref="A77:A84">$A$2:$A$9</f>
        <v>1969</v>
      </c>
      <c r="B77" s="12">
        <f>IFERROR(B67/B$46,"NA")</f>
        <v>0.75562143697321893</v>
      </c>
      <c r="C77" s="12">
        <f t="shared" ref="C77:I77" si="40">IFERROR(C67/C$46,"NA")</f>
        <v>0.40705740899826864</v>
      </c>
      <c r="D77" s="12">
        <f t="shared" si="40"/>
        <v>0.54150442117006703</v>
      </c>
      <c r="E77" s="12">
        <f t="shared" si="40"/>
        <v>0.53369219521619771</v>
      </c>
      <c r="F77" s="12">
        <f t="shared" si="40"/>
        <v>0.63750159331242817</v>
      </c>
      <c r="G77" s="12">
        <f t="shared" si="40"/>
        <v>0.75713182071002505</v>
      </c>
      <c r="H77" s="17">
        <f t="shared" si="40"/>
        <v>0.90114441850345994</v>
      </c>
      <c r="I77" s="12">
        <f t="shared" si="40"/>
        <v>1</v>
      </c>
      <c r="J77" t="s">
        <v>7</v>
      </c>
    </row>
    <row r="78" spans="1:10" x14ac:dyDescent="0.25">
      <c r="A78">
        <v>1970</v>
      </c>
      <c r="B78" s="12">
        <f t="shared" ref="B78:I84" si="41">IFERROR(B68/B$46,"NA")</f>
        <v>1.2871614618620439</v>
      </c>
      <c r="C78" s="12">
        <f t="shared" si="41"/>
        <v>0.66516354768247843</v>
      </c>
      <c r="D78" s="12">
        <f t="shared" si="41"/>
        <v>0.65889391655909324</v>
      </c>
      <c r="E78" s="12">
        <f t="shared" si="41"/>
        <v>0.65017876926336959</v>
      </c>
      <c r="F78" s="12">
        <f t="shared" si="41"/>
        <v>0.80554706686989475</v>
      </c>
      <c r="G78" s="17">
        <f t="shared" si="41"/>
        <v>0.92695884625267466</v>
      </c>
      <c r="H78" s="12">
        <f t="shared" si="41"/>
        <v>1</v>
      </c>
      <c r="I78" s="12" t="str">
        <f t="shared" si="41"/>
        <v>NA</v>
      </c>
      <c r="J78" t="s">
        <v>7</v>
      </c>
    </row>
    <row r="79" spans="1:10" x14ac:dyDescent="0.25">
      <c r="A79">
        <v>1971</v>
      </c>
      <c r="B79" s="12">
        <f t="shared" si="41"/>
        <v>0.9073030423113928</v>
      </c>
      <c r="C79" s="12">
        <f t="shared" si="41"/>
        <v>0.44171029816781371</v>
      </c>
      <c r="D79" s="12">
        <f t="shared" si="41"/>
        <v>0.46918424665298775</v>
      </c>
      <c r="E79" s="12">
        <f t="shared" si="41"/>
        <v>0.5713958419438333</v>
      </c>
      <c r="F79" s="17">
        <f t="shared" si="41"/>
        <v>0.89088535308601091</v>
      </c>
      <c r="G79" s="12">
        <f t="shared" si="41"/>
        <v>1</v>
      </c>
      <c r="H79" s="12" t="str">
        <f t="shared" si="41"/>
        <v>NA</v>
      </c>
      <c r="I79" s="12" t="str">
        <f t="shared" si="41"/>
        <v>NA</v>
      </c>
      <c r="J79" t="s">
        <v>7</v>
      </c>
    </row>
    <row r="80" spans="1:10" x14ac:dyDescent="0.25">
      <c r="A80">
        <v>1972</v>
      </c>
      <c r="B80" s="12">
        <f t="shared" si="41"/>
        <v>1.1174672761383715</v>
      </c>
      <c r="C80" s="12">
        <f t="shared" si="41"/>
        <v>0.54068531224056915</v>
      </c>
      <c r="D80" s="12">
        <f t="shared" si="41"/>
        <v>0.59584370079120363</v>
      </c>
      <c r="E80" s="17">
        <f t="shared" si="41"/>
        <v>0.8656047443950764</v>
      </c>
      <c r="F80" s="12">
        <f t="shared" si="41"/>
        <v>1</v>
      </c>
      <c r="G80" s="12" t="str">
        <f t="shared" si="41"/>
        <v>NA</v>
      </c>
      <c r="H80" s="12" t="str">
        <f t="shared" si="41"/>
        <v>NA</v>
      </c>
      <c r="I80" s="12" t="str">
        <f t="shared" si="41"/>
        <v>NA</v>
      </c>
      <c r="J80" t="s">
        <v>7</v>
      </c>
    </row>
    <row r="81" spans="1:10" x14ac:dyDescent="0.25">
      <c r="A81">
        <v>1973</v>
      </c>
      <c r="B81" s="12">
        <f t="shared" si="41"/>
        <v>1.1818357058330404</v>
      </c>
      <c r="C81" s="12">
        <f t="shared" si="41"/>
        <v>0.56689250438601746</v>
      </c>
      <c r="D81" s="17">
        <f t="shared" si="41"/>
        <v>1.010325058964807</v>
      </c>
      <c r="E81" s="12">
        <f t="shared" si="41"/>
        <v>1</v>
      </c>
      <c r="F81" s="12" t="str">
        <f t="shared" si="41"/>
        <v>NA</v>
      </c>
      <c r="G81" s="12" t="str">
        <f t="shared" si="41"/>
        <v>NA</v>
      </c>
      <c r="H81" s="12" t="str">
        <f t="shared" si="41"/>
        <v>NA</v>
      </c>
      <c r="I81" s="12" t="str">
        <f t="shared" si="41"/>
        <v>NA</v>
      </c>
      <c r="J81" t="s">
        <v>7</v>
      </c>
    </row>
    <row r="82" spans="1:10" x14ac:dyDescent="0.25">
      <c r="A82">
        <v>1974</v>
      </c>
      <c r="B82" s="12">
        <f t="shared" si="41"/>
        <v>0.83860216127949638</v>
      </c>
      <c r="C82" s="17">
        <f t="shared" si="41"/>
        <v>0.80374753998788728</v>
      </c>
      <c r="D82" s="12">
        <f t="shared" si="41"/>
        <v>1</v>
      </c>
      <c r="E82" s="12" t="str">
        <f t="shared" si="41"/>
        <v>NA</v>
      </c>
      <c r="F82" s="12" t="str">
        <f t="shared" si="41"/>
        <v>NA</v>
      </c>
      <c r="G82" s="12" t="str">
        <f t="shared" si="41"/>
        <v>NA</v>
      </c>
      <c r="H82" s="12" t="str">
        <f t="shared" si="41"/>
        <v>NA</v>
      </c>
      <c r="I82" s="12" t="str">
        <f t="shared" si="41"/>
        <v>NA</v>
      </c>
      <c r="J82" t="s">
        <v>7</v>
      </c>
    </row>
    <row r="83" spans="1:10" x14ac:dyDescent="0.25">
      <c r="A83">
        <v>1975</v>
      </c>
      <c r="B83" s="17">
        <f t="shared" si="41"/>
        <v>0.98646658451157743</v>
      </c>
      <c r="C83" s="12">
        <f t="shared" si="41"/>
        <v>1</v>
      </c>
      <c r="D83" s="12" t="str">
        <f t="shared" si="41"/>
        <v>NA</v>
      </c>
      <c r="E83" s="12" t="str">
        <f t="shared" si="41"/>
        <v>NA</v>
      </c>
      <c r="F83" s="12" t="str">
        <f t="shared" si="41"/>
        <v>NA</v>
      </c>
      <c r="G83" s="12" t="str">
        <f t="shared" si="41"/>
        <v>NA</v>
      </c>
      <c r="H83" s="12" t="str">
        <f t="shared" si="41"/>
        <v>NA</v>
      </c>
      <c r="I83" s="12" t="str">
        <f t="shared" si="41"/>
        <v>NA</v>
      </c>
      <c r="J83" t="s">
        <v>7</v>
      </c>
    </row>
    <row r="84" spans="1:10" x14ac:dyDescent="0.25">
      <c r="A84">
        <v>1976</v>
      </c>
      <c r="B84" s="12">
        <f t="shared" si="41"/>
        <v>1</v>
      </c>
      <c r="C84" s="12" t="str">
        <f t="shared" si="41"/>
        <v>NA</v>
      </c>
      <c r="D84" s="12" t="str">
        <f t="shared" si="41"/>
        <v>NA</v>
      </c>
      <c r="E84" s="12" t="str">
        <f t="shared" si="41"/>
        <v>NA</v>
      </c>
      <c r="F84" s="12" t="str">
        <f t="shared" si="41"/>
        <v>NA</v>
      </c>
      <c r="G84" s="12" t="str">
        <f t="shared" si="41"/>
        <v>NA</v>
      </c>
      <c r="H84" s="12" t="str">
        <f t="shared" si="41"/>
        <v>NA</v>
      </c>
      <c r="I84" s="12" t="str">
        <f t="shared" si="41"/>
        <v>NA</v>
      </c>
      <c r="J84" t="s">
        <v>7</v>
      </c>
    </row>
    <row r="86" spans="1:10" x14ac:dyDescent="0.25">
      <c r="A86" t="s">
        <v>22</v>
      </c>
    </row>
    <row r="87" spans="1:10" x14ac:dyDescent="0.25">
      <c r="A87" cm="1">
        <f t="array" ref="A87:A94">$A$2:$A$9</f>
        <v>1969</v>
      </c>
      <c r="B87" s="13">
        <f>IFERROR(B38/B77,"NA")</f>
        <v>4897.8686923759451</v>
      </c>
      <c r="C87" s="13">
        <f t="shared" ref="C87:I87" si="42">IFERROR(C38/C77,"NA")</f>
        <v>13903.502760093186</v>
      </c>
      <c r="D87" s="13">
        <f t="shared" si="42"/>
        <v>17103.716792793242</v>
      </c>
      <c r="E87" s="13">
        <f t="shared" si="42"/>
        <v>19020.162177983271</v>
      </c>
      <c r="F87" s="13">
        <f t="shared" si="42"/>
        <v>18422.982741170923</v>
      </c>
      <c r="G87" s="13">
        <f t="shared" si="42"/>
        <v>21961.104428023147</v>
      </c>
      <c r="H87" s="13">
        <f t="shared" si="42"/>
        <v>21348.713398402841</v>
      </c>
      <c r="I87" s="13">
        <f t="shared" si="42"/>
        <v>21423.398328690808</v>
      </c>
    </row>
    <row r="88" spans="1:10" x14ac:dyDescent="0.25">
      <c r="A88">
        <v>1970</v>
      </c>
      <c r="B88" s="13">
        <f t="shared" ref="B88:I94" si="43">IFERROR(B39/B78,"NA")</f>
        <v>5632.5489962323345</v>
      </c>
      <c r="C88" s="13">
        <f t="shared" si="43"/>
        <v>15989.028174107165</v>
      </c>
      <c r="D88" s="13">
        <f t="shared" si="43"/>
        <v>19669.27431171223</v>
      </c>
      <c r="E88" s="13">
        <f t="shared" si="43"/>
        <v>21873.186504680762</v>
      </c>
      <c r="F88" s="13">
        <f t="shared" si="43"/>
        <v>21186.430152346558</v>
      </c>
      <c r="G88" s="13">
        <f t="shared" si="43"/>
        <v>25255.270092226619</v>
      </c>
      <c r="H88" s="13">
        <f t="shared" si="43"/>
        <v>24551.020408163266</v>
      </c>
      <c r="I88" s="13" t="str">
        <f t="shared" si="43"/>
        <v>NA</v>
      </c>
    </row>
    <row r="89" spans="1:10" x14ac:dyDescent="0.25">
      <c r="A89">
        <v>1971</v>
      </c>
      <c r="B89" s="13">
        <f t="shared" si="43"/>
        <v>6477.4313456671844</v>
      </c>
      <c r="C89" s="13">
        <f t="shared" si="43"/>
        <v>18387.382400223236</v>
      </c>
      <c r="D89" s="13">
        <f t="shared" si="43"/>
        <v>22619.665458469066</v>
      </c>
      <c r="E89" s="13">
        <f t="shared" si="43"/>
        <v>25154.164480382868</v>
      </c>
      <c r="F89" s="13">
        <f t="shared" si="43"/>
        <v>24364.394675198539</v>
      </c>
      <c r="G89" s="13">
        <f t="shared" si="43"/>
        <v>29043.560606060608</v>
      </c>
      <c r="H89" s="13" t="str">
        <f t="shared" si="43"/>
        <v>NA</v>
      </c>
      <c r="I89" s="13" t="str">
        <f t="shared" si="43"/>
        <v>NA</v>
      </c>
    </row>
    <row r="90" spans="1:10" x14ac:dyDescent="0.25">
      <c r="A90">
        <v>1972</v>
      </c>
      <c r="B90" s="13">
        <f t="shared" si="43"/>
        <v>7449.0460475172622</v>
      </c>
      <c r="C90" s="13">
        <f t="shared" si="43"/>
        <v>21145.489760256725</v>
      </c>
      <c r="D90" s="13">
        <f t="shared" si="43"/>
        <v>26012.615277239423</v>
      </c>
      <c r="E90" s="13">
        <f t="shared" si="43"/>
        <v>28927.289152440298</v>
      </c>
      <c r="F90" s="13">
        <f t="shared" si="43"/>
        <v>28019.05387647832</v>
      </c>
      <c r="G90" s="13" t="str">
        <f t="shared" si="43"/>
        <v>NA</v>
      </c>
      <c r="H90" s="13" t="str">
        <f t="shared" si="43"/>
        <v>NA</v>
      </c>
      <c r="I90" s="13" t="str">
        <f t="shared" si="43"/>
        <v>NA</v>
      </c>
    </row>
    <row r="91" spans="1:10" x14ac:dyDescent="0.25">
      <c r="A91">
        <v>1973</v>
      </c>
      <c r="B91" s="13">
        <f t="shared" si="43"/>
        <v>8566.402954644851</v>
      </c>
      <c r="C91" s="13">
        <f t="shared" si="43"/>
        <v>24317.313224295227</v>
      </c>
      <c r="D91" s="13">
        <f t="shared" si="43"/>
        <v>29914.507568825335</v>
      </c>
      <c r="E91" s="13">
        <f t="shared" si="43"/>
        <v>33266.382525306341</v>
      </c>
      <c r="F91" s="13" t="str">
        <f t="shared" si="43"/>
        <v>NA</v>
      </c>
      <c r="G91" s="13" t="str">
        <f t="shared" si="43"/>
        <v>NA</v>
      </c>
      <c r="H91" s="13" t="str">
        <f t="shared" si="43"/>
        <v>NA</v>
      </c>
      <c r="I91" s="13" t="str">
        <f t="shared" si="43"/>
        <v>NA</v>
      </c>
    </row>
    <row r="92" spans="1:10" x14ac:dyDescent="0.25">
      <c r="A92">
        <v>1974</v>
      </c>
      <c r="B92" s="13">
        <f t="shared" si="43"/>
        <v>9851.3633978415783</v>
      </c>
      <c r="C92" s="13">
        <f t="shared" si="43"/>
        <v>27964.910207939512</v>
      </c>
      <c r="D92" s="13">
        <f t="shared" si="43"/>
        <v>34401.683704149131</v>
      </c>
      <c r="E92" s="13" t="str">
        <f t="shared" si="43"/>
        <v>NA</v>
      </c>
      <c r="F92" s="13" t="str">
        <f t="shared" si="43"/>
        <v>NA</v>
      </c>
      <c r="G92" s="13" t="str">
        <f t="shared" si="43"/>
        <v>NA</v>
      </c>
      <c r="H92" s="13" t="str">
        <f t="shared" si="43"/>
        <v>NA</v>
      </c>
      <c r="I92" s="13" t="str">
        <f t="shared" si="43"/>
        <v>NA</v>
      </c>
    </row>
    <row r="93" spans="1:10" x14ac:dyDescent="0.25">
      <c r="A93">
        <v>1975</v>
      </c>
      <c r="B93" s="13">
        <f t="shared" si="43"/>
        <v>11329.067907517814</v>
      </c>
      <c r="C93" s="13">
        <f t="shared" si="43"/>
        <v>32159.646739130436</v>
      </c>
      <c r="D93" s="13" t="str">
        <f t="shared" si="43"/>
        <v>NA</v>
      </c>
      <c r="E93" s="13" t="str">
        <f t="shared" si="43"/>
        <v>NA</v>
      </c>
      <c r="F93" s="13" t="str">
        <f t="shared" si="43"/>
        <v>NA</v>
      </c>
      <c r="G93" s="13" t="str">
        <f t="shared" si="43"/>
        <v>NA</v>
      </c>
      <c r="H93" s="13" t="str">
        <f t="shared" si="43"/>
        <v>NA</v>
      </c>
      <c r="I93" s="13" t="str">
        <f t="shared" si="43"/>
        <v>NA</v>
      </c>
    </row>
    <row r="94" spans="1:10" x14ac:dyDescent="0.25">
      <c r="A94">
        <v>1976</v>
      </c>
      <c r="B94" s="13">
        <f t="shared" si="43"/>
        <v>13028.428093645485</v>
      </c>
      <c r="C94" s="13" t="str">
        <f t="shared" si="43"/>
        <v>NA</v>
      </c>
      <c r="D94" s="13" t="str">
        <f t="shared" si="43"/>
        <v>NA</v>
      </c>
      <c r="E94" s="13" t="str">
        <f t="shared" si="43"/>
        <v>NA</v>
      </c>
      <c r="F94" s="13" t="str">
        <f t="shared" si="43"/>
        <v>NA</v>
      </c>
      <c r="G94" s="13" t="str">
        <f t="shared" si="43"/>
        <v>NA</v>
      </c>
      <c r="H94" s="13" t="str">
        <f t="shared" si="43"/>
        <v>NA</v>
      </c>
      <c r="I94" s="13" t="str">
        <f t="shared" si="43"/>
        <v>NA</v>
      </c>
    </row>
    <row r="95" spans="1:10" x14ac:dyDescent="0.25">
      <c r="B95" s="13"/>
      <c r="C95" s="13"/>
      <c r="D95" s="13"/>
      <c r="E95" s="13"/>
      <c r="F95" s="13"/>
      <c r="G95" s="13"/>
      <c r="H95" s="13"/>
      <c r="I95" s="13"/>
    </row>
    <row r="96" spans="1:10" x14ac:dyDescent="0.25">
      <c r="A96" t="s">
        <v>19</v>
      </c>
      <c r="B96" s="13"/>
      <c r="C96" s="13"/>
      <c r="D96" s="13"/>
      <c r="E96" s="13"/>
      <c r="F96" s="13"/>
      <c r="G96" s="13"/>
      <c r="H96" s="13"/>
      <c r="I96" s="13"/>
    </row>
    <row r="97" spans="1:11" x14ac:dyDescent="0.25">
      <c r="A97" cm="1">
        <f t="array" ref="A97:A104">$A$2:$A$9</f>
        <v>1969</v>
      </c>
      <c r="B97" s="12">
        <f>IFERROR(B87/B38,"NA")</f>
        <v>1.3234140153642073</v>
      </c>
      <c r="C97" s="12">
        <f t="shared" ref="C97:I97" si="44">IFERROR(C87/C38,"NA")</f>
        <v>2.4566559357337563</v>
      </c>
      <c r="D97" s="12">
        <f t="shared" si="44"/>
        <v>1.8467069905712477</v>
      </c>
      <c r="E97" s="12">
        <f t="shared" si="44"/>
        <v>1.8737392245260434</v>
      </c>
      <c r="F97" s="12">
        <f t="shared" si="44"/>
        <v>1.568623530498249</v>
      </c>
      <c r="G97" s="12">
        <f t="shared" si="44"/>
        <v>1.3207739691381846</v>
      </c>
      <c r="H97" s="12">
        <f t="shared" si="44"/>
        <v>1.1097000430416144</v>
      </c>
      <c r="I97" s="12">
        <f t="shared" si="44"/>
        <v>1</v>
      </c>
      <c r="K97" s="12">
        <f t="shared" ref="K97:K99" si="45">1/B97</f>
        <v>0.75562143697321893</v>
      </c>
    </row>
    <row r="98" spans="1:11" x14ac:dyDescent="0.25">
      <c r="A98">
        <v>1970</v>
      </c>
      <c r="B98" s="12">
        <f t="shared" ref="B98:I104" si="46">IFERROR(B88/B39,"NA")</f>
        <v>0.77690330982514955</v>
      </c>
      <c r="C98" s="12">
        <f t="shared" si="46"/>
        <v>1.5033896603085632</v>
      </c>
      <c r="D98" s="12">
        <f t="shared" si="46"/>
        <v>1.5176949959141328</v>
      </c>
      <c r="E98" s="12">
        <f t="shared" si="46"/>
        <v>1.5380385322839225</v>
      </c>
      <c r="F98" s="12">
        <f t="shared" si="46"/>
        <v>1.2413923917390561</v>
      </c>
      <c r="G98" s="12">
        <f t="shared" si="46"/>
        <v>1.0787965442506986</v>
      </c>
      <c r="H98" s="12">
        <f t="shared" si="46"/>
        <v>1</v>
      </c>
      <c r="I98" s="12" t="str">
        <f t="shared" si="46"/>
        <v>NA</v>
      </c>
      <c r="K98" s="12">
        <f t="shared" si="45"/>
        <v>1.2871614618620439</v>
      </c>
    </row>
    <row r="99" spans="1:11" x14ac:dyDescent="0.25">
      <c r="A99">
        <v>1971</v>
      </c>
      <c r="B99" s="12">
        <f t="shared" si="46"/>
        <v>1.1021675816852303</v>
      </c>
      <c r="C99" s="12">
        <f t="shared" si="46"/>
        <v>2.2639272938573911</v>
      </c>
      <c r="D99" s="12">
        <f t="shared" si="46"/>
        <v>2.1313588577060805</v>
      </c>
      <c r="E99" s="12">
        <f t="shared" si="46"/>
        <v>1.7501002397884045</v>
      </c>
      <c r="F99" s="12">
        <f t="shared" si="46"/>
        <v>1.1224788874752716</v>
      </c>
      <c r="G99" s="12">
        <f t="shared" si="46"/>
        <v>1</v>
      </c>
      <c r="H99" s="12" t="str">
        <f t="shared" si="46"/>
        <v>NA</v>
      </c>
      <c r="I99" s="12" t="str">
        <f t="shared" si="46"/>
        <v>NA</v>
      </c>
      <c r="K99" s="12">
        <f t="shared" si="45"/>
        <v>0.9073030423113928</v>
      </c>
    </row>
    <row r="100" spans="1:11" x14ac:dyDescent="0.25">
      <c r="A100">
        <v>1972</v>
      </c>
      <c r="B100" s="12">
        <f t="shared" si="46"/>
        <v>0.89488079101134588</v>
      </c>
      <c r="C100" s="12">
        <f t="shared" si="46"/>
        <v>1.8495046515246678</v>
      </c>
      <c r="D100" s="12">
        <f t="shared" si="46"/>
        <v>1.6782924761512605</v>
      </c>
      <c r="E100" s="12">
        <f t="shared" si="46"/>
        <v>1.1552616901364665</v>
      </c>
      <c r="F100" s="12">
        <f t="shared" si="46"/>
        <v>1</v>
      </c>
      <c r="G100" s="12" t="str">
        <f t="shared" si="46"/>
        <v>NA</v>
      </c>
      <c r="H100" s="12" t="str">
        <f t="shared" si="46"/>
        <v>NA</v>
      </c>
      <c r="I100" s="12" t="str">
        <f t="shared" si="46"/>
        <v>NA</v>
      </c>
      <c r="K100" s="12">
        <f t="shared" ref="K100:K103" si="47">1/B100</f>
        <v>1.1174672761383715</v>
      </c>
    </row>
    <row r="101" spans="1:11" x14ac:dyDescent="0.25">
      <c r="A101">
        <v>1973</v>
      </c>
      <c r="B101" s="12">
        <f t="shared" si="46"/>
        <v>0.84614129956001805</v>
      </c>
      <c r="C101" s="12">
        <f t="shared" si="46"/>
        <v>1.7640028616766894</v>
      </c>
      <c r="D101" s="12">
        <f t="shared" si="46"/>
        <v>0.98978045840475715</v>
      </c>
      <c r="E101" s="12">
        <f t="shared" si="46"/>
        <v>1</v>
      </c>
      <c r="F101" s="12" t="str">
        <f t="shared" si="46"/>
        <v>NA</v>
      </c>
      <c r="G101" s="12" t="str">
        <f t="shared" si="46"/>
        <v>NA</v>
      </c>
      <c r="H101" s="12" t="str">
        <f t="shared" si="46"/>
        <v>NA</v>
      </c>
      <c r="I101" s="12" t="str">
        <f t="shared" si="46"/>
        <v>NA</v>
      </c>
      <c r="K101" s="12">
        <f t="shared" si="47"/>
        <v>1.1818357058330404</v>
      </c>
    </row>
    <row r="102" spans="1:11" x14ac:dyDescent="0.25">
      <c r="A102">
        <v>1974</v>
      </c>
      <c r="B102" s="12">
        <f t="shared" si="46"/>
        <v>1.1924605565936668</v>
      </c>
      <c r="C102" s="12">
        <f t="shared" si="46"/>
        <v>1.2441717706720077</v>
      </c>
      <c r="D102" s="12">
        <f t="shared" si="46"/>
        <v>1</v>
      </c>
      <c r="E102" s="12" t="str">
        <f t="shared" si="46"/>
        <v>NA</v>
      </c>
      <c r="F102" s="12" t="str">
        <f t="shared" si="46"/>
        <v>NA</v>
      </c>
      <c r="G102" s="12" t="str">
        <f t="shared" si="46"/>
        <v>NA</v>
      </c>
      <c r="H102" s="12" t="str">
        <f t="shared" si="46"/>
        <v>NA</v>
      </c>
      <c r="I102" s="12" t="str">
        <f t="shared" si="46"/>
        <v>NA</v>
      </c>
      <c r="K102" s="12">
        <f t="shared" si="47"/>
        <v>0.83860216127949627</v>
      </c>
    </row>
    <row r="103" spans="1:11" x14ac:dyDescent="0.25">
      <c r="A103">
        <v>1975</v>
      </c>
      <c r="B103" s="12">
        <f t="shared" si="46"/>
        <v>1.0137190815187351</v>
      </c>
      <c r="C103" s="12">
        <f t="shared" si="46"/>
        <v>1</v>
      </c>
      <c r="D103" s="12" t="str">
        <f t="shared" si="46"/>
        <v>NA</v>
      </c>
      <c r="E103" s="12" t="str">
        <f t="shared" si="46"/>
        <v>NA</v>
      </c>
      <c r="F103" s="12" t="str">
        <f t="shared" si="46"/>
        <v>NA</v>
      </c>
      <c r="G103" s="12" t="str">
        <f t="shared" si="46"/>
        <v>NA</v>
      </c>
      <c r="H103" s="12" t="str">
        <f t="shared" si="46"/>
        <v>NA</v>
      </c>
      <c r="I103" s="12" t="str">
        <f t="shared" si="46"/>
        <v>NA</v>
      </c>
      <c r="K103" s="12">
        <f t="shared" si="47"/>
        <v>0.98646658451157743</v>
      </c>
    </row>
    <row r="104" spans="1:11" x14ac:dyDescent="0.25">
      <c r="A104">
        <v>1976</v>
      </c>
      <c r="B104" s="12">
        <f t="shared" si="46"/>
        <v>1</v>
      </c>
      <c r="C104" s="12" t="str">
        <f t="shared" si="46"/>
        <v>NA</v>
      </c>
      <c r="D104" s="12" t="str">
        <f t="shared" si="46"/>
        <v>NA</v>
      </c>
      <c r="E104" s="12" t="str">
        <f t="shared" si="46"/>
        <v>NA</v>
      </c>
      <c r="F104" s="12" t="str">
        <f t="shared" si="46"/>
        <v>NA</v>
      </c>
      <c r="G104" s="12" t="str">
        <f t="shared" si="46"/>
        <v>NA</v>
      </c>
      <c r="H104" s="12" t="str">
        <f t="shared" si="46"/>
        <v>NA</v>
      </c>
      <c r="I104" s="12" t="str">
        <f t="shared" si="46"/>
        <v>NA</v>
      </c>
      <c r="K104" s="12">
        <f>1/B104</f>
        <v>1</v>
      </c>
    </row>
    <row r="105" spans="1:11" x14ac:dyDescent="0.25">
      <c r="B105" s="12"/>
      <c r="C105" s="12"/>
      <c r="D105" s="12"/>
      <c r="E105" s="12"/>
      <c r="F105" s="12"/>
      <c r="G105" s="12"/>
      <c r="H105" s="12"/>
      <c r="I105" s="12"/>
      <c r="K105" s="12"/>
    </row>
    <row r="106" spans="1:11" x14ac:dyDescent="0.25">
      <c r="A106" t="s">
        <v>20</v>
      </c>
      <c r="B106" s="12"/>
      <c r="C106" s="12"/>
      <c r="D106" s="12"/>
      <c r="E106" s="12"/>
      <c r="F106" s="12"/>
      <c r="G106" s="12"/>
      <c r="H106" s="12"/>
      <c r="I106" s="12"/>
      <c r="K106" s="12"/>
    </row>
    <row r="107" spans="1:11" x14ac:dyDescent="0.25">
      <c r="A107" cm="1">
        <f t="array" ref="A107:A114">$A$2:$A$9</f>
        <v>1969</v>
      </c>
      <c r="B107" s="12">
        <f>IFERROR(B38/B$46,"NA")</f>
        <v>0.28406608631814567</v>
      </c>
      <c r="C107" s="12">
        <f t="shared" ref="C107:I107" si="48">IFERROR(C38/C$46,"NA")</f>
        <v>0.17598215103020864</v>
      </c>
      <c r="D107" s="19">
        <f t="shared" si="48"/>
        <v>0.2692234002669241</v>
      </c>
      <c r="E107" s="19">
        <f t="shared" si="48"/>
        <v>0.30514024476253182</v>
      </c>
      <c r="F107" s="19">
        <f t="shared" si="48"/>
        <v>0.41916764580417742</v>
      </c>
      <c r="G107" s="19">
        <f t="shared" si="48"/>
        <v>0.57250043153877139</v>
      </c>
      <c r="H107" s="18">
        <f t="shared" si="48"/>
        <v>0.78360384217692169</v>
      </c>
      <c r="I107" s="12">
        <f t="shared" si="48"/>
        <v>1</v>
      </c>
      <c r="K107" s="12"/>
    </row>
    <row r="108" spans="1:11" x14ac:dyDescent="0.25">
      <c r="A108">
        <v>1970</v>
      </c>
      <c r="B108" s="12">
        <f t="shared" ref="B108:I114" si="49">IFERROR(B39/B$46,"NA")</f>
        <v>0.55647542035682196</v>
      </c>
      <c r="C108" s="19">
        <f t="shared" si="49"/>
        <v>0.33070384107620299</v>
      </c>
      <c r="D108" s="19">
        <f t="shared" si="49"/>
        <v>0.37672473529416683</v>
      </c>
      <c r="E108" s="19">
        <f t="shared" si="49"/>
        <v>0.42750309477331788</v>
      </c>
      <c r="F108" s="19">
        <f t="shared" si="49"/>
        <v>0.60910931332317197</v>
      </c>
      <c r="G108" s="18">
        <f t="shared" si="49"/>
        <v>0.80605117065449983</v>
      </c>
      <c r="H108" s="12">
        <f t="shared" si="49"/>
        <v>1</v>
      </c>
      <c r="I108" s="12" t="str">
        <f t="shared" si="49"/>
        <v>NA</v>
      </c>
      <c r="K108" s="12"/>
    </row>
    <row r="109" spans="1:11" x14ac:dyDescent="0.25">
      <c r="A109">
        <v>1971</v>
      </c>
      <c r="B109" s="19">
        <f t="shared" si="49"/>
        <v>0.45108996450258443</v>
      </c>
      <c r="C109" s="19">
        <f t="shared" si="49"/>
        <v>0.25254929658931397</v>
      </c>
      <c r="D109" s="19">
        <f t="shared" si="49"/>
        <v>0.30849625817571324</v>
      </c>
      <c r="E109" s="19">
        <f t="shared" si="49"/>
        <v>0.43205734740554508</v>
      </c>
      <c r="F109" s="18">
        <f t="shared" si="49"/>
        <v>0.77468291572696601</v>
      </c>
      <c r="G109" s="12">
        <f t="shared" si="49"/>
        <v>1</v>
      </c>
      <c r="H109" s="12" t="str">
        <f t="shared" si="49"/>
        <v>NA</v>
      </c>
      <c r="I109" s="12" t="str">
        <f t="shared" si="49"/>
        <v>NA</v>
      </c>
      <c r="K109" s="12"/>
    </row>
    <row r="110" spans="1:11" x14ac:dyDescent="0.25">
      <c r="A110">
        <v>1972</v>
      </c>
      <c r="B110" s="19">
        <f t="shared" si="49"/>
        <v>0.63891554197612033</v>
      </c>
      <c r="C110" s="19">
        <f t="shared" si="49"/>
        <v>0.35550936943573225</v>
      </c>
      <c r="D110" s="19">
        <f t="shared" si="49"/>
        <v>0.45054344105194993</v>
      </c>
      <c r="E110" s="18">
        <f t="shared" si="49"/>
        <v>0.75269977773484908</v>
      </c>
      <c r="F110" s="12">
        <f t="shared" si="49"/>
        <v>1</v>
      </c>
      <c r="G110" s="12" t="str">
        <f t="shared" si="49"/>
        <v>NA</v>
      </c>
      <c r="H110" s="12" t="str">
        <f t="shared" si="49"/>
        <v>NA</v>
      </c>
      <c r="I110" s="12" t="str">
        <f t="shared" si="49"/>
        <v>NA</v>
      </c>
      <c r="K110" s="12"/>
    </row>
    <row r="111" spans="1:11" x14ac:dyDescent="0.25">
      <c r="A111">
        <v>1973</v>
      </c>
      <c r="B111" s="19">
        <f t="shared" si="49"/>
        <v>0.77707616065294038</v>
      </c>
      <c r="C111" s="19">
        <f t="shared" si="49"/>
        <v>0.42865217722950283</v>
      </c>
      <c r="D111" s="18">
        <f t="shared" si="49"/>
        <v>0.8785435295346149</v>
      </c>
      <c r="E111" s="12">
        <f t="shared" si="49"/>
        <v>1</v>
      </c>
      <c r="F111" s="12" t="str">
        <f t="shared" si="49"/>
        <v>NA</v>
      </c>
      <c r="G111" s="12" t="str">
        <f t="shared" si="49"/>
        <v>NA</v>
      </c>
      <c r="H111" s="12" t="str">
        <f t="shared" si="49"/>
        <v>NA</v>
      </c>
      <c r="I111" s="12" t="str">
        <f t="shared" si="49"/>
        <v>NA</v>
      </c>
      <c r="K111" s="12"/>
    </row>
    <row r="112" spans="1:11" x14ac:dyDescent="0.25">
      <c r="A112">
        <v>1974</v>
      </c>
      <c r="B112" s="19">
        <f t="shared" si="49"/>
        <v>0.63410371363288953</v>
      </c>
      <c r="C112" s="18">
        <f t="shared" si="49"/>
        <v>0.69891090433729341</v>
      </c>
      <c r="D112" s="12">
        <f t="shared" si="49"/>
        <v>1</v>
      </c>
      <c r="E112" s="12" t="str">
        <f t="shared" si="49"/>
        <v>NA</v>
      </c>
      <c r="F112" s="12" t="str">
        <f t="shared" si="49"/>
        <v>NA</v>
      </c>
      <c r="G112" s="12" t="str">
        <f t="shared" si="49"/>
        <v>NA</v>
      </c>
      <c r="H112" s="12" t="str">
        <f t="shared" si="49"/>
        <v>NA</v>
      </c>
      <c r="I112" s="12" t="str">
        <f t="shared" si="49"/>
        <v>NA</v>
      </c>
      <c r="K112" s="12"/>
    </row>
    <row r="113" spans="1:19" x14ac:dyDescent="0.25">
      <c r="A113">
        <v>1975</v>
      </c>
      <c r="B113" s="18">
        <f t="shared" si="49"/>
        <v>0.85779703001006746</v>
      </c>
      <c r="C113" s="12">
        <f t="shared" si="49"/>
        <v>1</v>
      </c>
      <c r="D113" s="12" t="str">
        <f t="shared" si="49"/>
        <v>NA</v>
      </c>
      <c r="E113" s="12" t="str">
        <f t="shared" si="49"/>
        <v>NA</v>
      </c>
      <c r="F113" s="12" t="str">
        <f t="shared" si="49"/>
        <v>NA</v>
      </c>
      <c r="G113" s="12" t="str">
        <f t="shared" si="49"/>
        <v>NA</v>
      </c>
      <c r="H113" s="12" t="str">
        <f t="shared" si="49"/>
        <v>NA</v>
      </c>
      <c r="I113" s="12" t="str">
        <f t="shared" si="49"/>
        <v>NA</v>
      </c>
      <c r="K113" s="12"/>
    </row>
    <row r="114" spans="1:19" x14ac:dyDescent="0.25">
      <c r="A114">
        <v>1976</v>
      </c>
      <c r="B114" s="12">
        <f t="shared" si="49"/>
        <v>1</v>
      </c>
      <c r="C114" s="12" t="str">
        <f t="shared" si="49"/>
        <v>NA</v>
      </c>
      <c r="D114" s="12" t="str">
        <f t="shared" si="49"/>
        <v>NA</v>
      </c>
      <c r="E114" s="12" t="str">
        <f t="shared" si="49"/>
        <v>NA</v>
      </c>
      <c r="F114" s="12" t="str">
        <f t="shared" si="49"/>
        <v>NA</v>
      </c>
      <c r="G114" s="12" t="str">
        <f t="shared" si="49"/>
        <v>NA</v>
      </c>
      <c r="H114" s="12" t="str">
        <f t="shared" si="49"/>
        <v>NA</v>
      </c>
      <c r="I114" s="12" t="str">
        <f t="shared" si="49"/>
        <v>NA</v>
      </c>
      <c r="K114" s="12"/>
    </row>
    <row r="115" spans="1:19" x14ac:dyDescent="0.25">
      <c r="B115" s="12"/>
      <c r="C115" s="12"/>
      <c r="D115" s="12"/>
      <c r="E115" s="12"/>
      <c r="F115" s="12"/>
      <c r="G115" s="12"/>
      <c r="H115" s="12"/>
      <c r="I115" s="12"/>
      <c r="K115" s="12"/>
    </row>
    <row r="116" spans="1:19" x14ac:dyDescent="0.25">
      <c r="B116" s="12"/>
      <c r="C116" s="12"/>
      <c r="D116" s="12"/>
      <c r="E116" s="12"/>
      <c r="F116" s="12"/>
      <c r="G116" s="12"/>
      <c r="H116" s="12"/>
      <c r="I116" s="12"/>
      <c r="K116" s="12"/>
    </row>
    <row r="117" spans="1:19" x14ac:dyDescent="0.25">
      <c r="A117" cm="1">
        <f t="array" ref="A117:A124">$A$2:$A$9</f>
        <v>1969</v>
      </c>
      <c r="B117" s="12">
        <f t="shared" ref="B117:B122" si="50">1/B58*B77</f>
        <v>0.28406608631814567</v>
      </c>
      <c r="C117" s="12"/>
      <c r="D117" s="12"/>
      <c r="E117" s="12"/>
      <c r="F117" s="12"/>
      <c r="G117" s="12"/>
      <c r="H117" s="12"/>
      <c r="I117" s="12"/>
      <c r="K117" s="12"/>
    </row>
    <row r="118" spans="1:19" x14ac:dyDescent="0.25">
      <c r="A118">
        <v>1970</v>
      </c>
      <c r="B118" s="12">
        <f t="shared" si="50"/>
        <v>0.55647542035682196</v>
      </c>
      <c r="C118" s="12"/>
      <c r="D118" s="12"/>
      <c r="E118" s="12"/>
      <c r="F118" s="12"/>
      <c r="G118" s="12"/>
      <c r="H118" s="12"/>
      <c r="I118" s="12"/>
      <c r="K118" s="12"/>
    </row>
    <row r="119" spans="1:19" x14ac:dyDescent="0.25">
      <c r="A119">
        <v>1971</v>
      </c>
      <c r="B119" s="12">
        <f t="shared" si="50"/>
        <v>0.45108996450258443</v>
      </c>
      <c r="C119" s="12"/>
      <c r="D119" s="12"/>
      <c r="E119" s="12"/>
      <c r="F119" s="12"/>
      <c r="G119" s="12"/>
      <c r="H119" s="12"/>
      <c r="I119" s="12"/>
      <c r="K119" s="12"/>
    </row>
    <row r="120" spans="1:19" x14ac:dyDescent="0.25">
      <c r="A120">
        <v>1972</v>
      </c>
      <c r="B120" s="12">
        <f t="shared" si="50"/>
        <v>0.63891554197612044</v>
      </c>
      <c r="C120" s="13"/>
      <c r="D120" s="13"/>
      <c r="E120" s="13"/>
      <c r="F120" s="13"/>
      <c r="G120" s="13"/>
      <c r="H120" s="13"/>
      <c r="I120" s="13"/>
    </row>
    <row r="121" spans="1:19" x14ac:dyDescent="0.25">
      <c r="A121">
        <v>1973</v>
      </c>
      <c r="B121" s="12">
        <f t="shared" si="50"/>
        <v>0.77707616065294038</v>
      </c>
      <c r="C121" s="13"/>
      <c r="D121" s="16">
        <f>1/D62*D81</f>
        <v>0.87854352953461479</v>
      </c>
      <c r="E121" s="13"/>
      <c r="F121" s="13"/>
      <c r="G121" s="13"/>
      <c r="H121" s="13"/>
      <c r="I121" s="13"/>
    </row>
    <row r="122" spans="1:19" x14ac:dyDescent="0.25">
      <c r="A122">
        <v>1974</v>
      </c>
      <c r="B122" s="12">
        <f t="shared" si="50"/>
        <v>0.63410371363288964</v>
      </c>
      <c r="C122" s="16">
        <f>1/C63*C82</f>
        <v>0.6989109043372933</v>
      </c>
      <c r="D122" s="13"/>
      <c r="E122" s="13"/>
      <c r="F122" s="13"/>
      <c r="G122" s="13"/>
      <c r="H122" s="13"/>
      <c r="I122" s="13"/>
    </row>
    <row r="123" spans="1:19" x14ac:dyDescent="0.25">
      <c r="A123">
        <v>1975</v>
      </c>
      <c r="B123" s="16">
        <f>1/B64*B83</f>
        <v>0.85779703001006746</v>
      </c>
      <c r="C123" s="13" t="s">
        <v>21</v>
      </c>
      <c r="D123" s="13"/>
      <c r="E123" s="13"/>
      <c r="F123" s="13"/>
      <c r="G123" s="13"/>
      <c r="H123" s="13"/>
      <c r="I123" s="13"/>
    </row>
    <row r="124" spans="1:19" x14ac:dyDescent="0.25">
      <c r="A124">
        <v>1976</v>
      </c>
    </row>
    <row r="127" spans="1:19" x14ac:dyDescent="0.25">
      <c r="A127" t="s">
        <v>17</v>
      </c>
      <c r="L127" t="s">
        <v>18</v>
      </c>
    </row>
    <row r="128" spans="1:19" x14ac:dyDescent="0.25">
      <c r="A128" cm="1">
        <f t="array" ref="A128:A135">$A$2:$A$9</f>
        <v>1969</v>
      </c>
      <c r="B128" s="13">
        <f t="shared" ref="B128:I135" si="51">IFERROR(B$46*B77/B58,"NA")</f>
        <v>3700.934579439252</v>
      </c>
      <c r="C128" s="13">
        <f t="shared" si="51"/>
        <v>5659.5238095238092</v>
      </c>
      <c r="D128" s="13">
        <f t="shared" si="51"/>
        <v>9261.7382617382609</v>
      </c>
      <c r="E128" s="13">
        <f t="shared" si="51"/>
        <v>10150.912106135987</v>
      </c>
      <c r="F128" s="13">
        <f t="shared" si="51"/>
        <v>11744.680851063829</v>
      </c>
      <c r="G128" s="13">
        <f t="shared" si="51"/>
        <v>16627.450980392157</v>
      </c>
      <c r="H128" s="15">
        <f t="shared" si="51"/>
        <v>19238.273921200751</v>
      </c>
      <c r="I128" s="13">
        <f t="shared" si="51"/>
        <v>21423.398328690808</v>
      </c>
      <c r="L128" s="6">
        <f>B38</f>
        <v>3700.9345794392525</v>
      </c>
      <c r="M128" s="6">
        <f t="shared" ref="M128:S135" si="52">C38</f>
        <v>5659.5238095238092</v>
      </c>
      <c r="N128" s="6">
        <f t="shared" si="52"/>
        <v>9261.7382617382609</v>
      </c>
      <c r="O128" s="6">
        <f t="shared" si="52"/>
        <v>10150.912106135987</v>
      </c>
      <c r="P128" s="6">
        <f t="shared" si="52"/>
        <v>11744.680851063829</v>
      </c>
      <c r="Q128" s="6">
        <f t="shared" si="52"/>
        <v>16627.450980392157</v>
      </c>
      <c r="R128" s="6">
        <f t="shared" si="52"/>
        <v>19238.273921200751</v>
      </c>
      <c r="S128" s="6">
        <f t="shared" si="52"/>
        <v>21423.398328690808</v>
      </c>
    </row>
    <row r="129" spans="1:19" x14ac:dyDescent="0.25">
      <c r="A129">
        <v>1970</v>
      </c>
      <c r="B129" s="13">
        <f t="shared" si="51"/>
        <v>7250.0000000000009</v>
      </c>
      <c r="C129" s="13">
        <f t="shared" si="51"/>
        <v>10635.318704284222</v>
      </c>
      <c r="D129" s="13">
        <f t="shared" si="51"/>
        <v>12959.965187119235</v>
      </c>
      <c r="E129" s="13">
        <f t="shared" si="51"/>
        <v>14221.481481481482</v>
      </c>
      <c r="F129" s="13">
        <f t="shared" si="51"/>
        <v>17066.666666666668</v>
      </c>
      <c r="G129" s="15">
        <f t="shared" si="51"/>
        <v>23410.596026490068</v>
      </c>
      <c r="H129" s="13">
        <f t="shared" si="51"/>
        <v>24551.020408163266</v>
      </c>
      <c r="I129" s="13" t="str">
        <f t="shared" si="51"/>
        <v>NA</v>
      </c>
      <c r="L129" s="6">
        <f t="shared" ref="L129:L135" si="53">B39</f>
        <v>7250</v>
      </c>
      <c r="M129" s="6">
        <f t="shared" si="52"/>
        <v>10635.318704284222</v>
      </c>
      <c r="N129" s="6">
        <f t="shared" si="52"/>
        <v>12959.965187119235</v>
      </c>
      <c r="O129" s="6">
        <f t="shared" si="52"/>
        <v>14221.481481481482</v>
      </c>
      <c r="P129" s="6">
        <f t="shared" si="52"/>
        <v>17066.666666666668</v>
      </c>
      <c r="Q129" s="6">
        <f t="shared" si="52"/>
        <v>23410.596026490068</v>
      </c>
      <c r="R129" s="6">
        <f t="shared" si="52"/>
        <v>24551.020408163266</v>
      </c>
      <c r="S129" s="6" t="str">
        <f t="shared" si="52"/>
        <v>NA</v>
      </c>
    </row>
    <row r="130" spans="1:19" x14ac:dyDescent="0.25">
      <c r="A130">
        <v>1971</v>
      </c>
      <c r="B130" s="13">
        <f t="shared" si="51"/>
        <v>5876.9931662870158</v>
      </c>
      <c r="C130" s="13">
        <f t="shared" si="51"/>
        <v>8121.8961625282163</v>
      </c>
      <c r="D130" s="13">
        <f t="shared" si="51"/>
        <v>10612.790697674416</v>
      </c>
      <c r="E130" s="13">
        <f t="shared" si="51"/>
        <v>14372.984991662035</v>
      </c>
      <c r="F130" s="15">
        <f t="shared" si="51"/>
        <v>21705.882352941175</v>
      </c>
      <c r="G130" s="13">
        <f t="shared" si="51"/>
        <v>29043.560606060608</v>
      </c>
      <c r="H130" s="13" t="str">
        <f t="shared" si="51"/>
        <v>NA</v>
      </c>
      <c r="I130" s="13" t="str">
        <f t="shared" si="51"/>
        <v>NA</v>
      </c>
      <c r="L130" s="6">
        <f t="shared" si="53"/>
        <v>5876.9931662870158</v>
      </c>
      <c r="M130" s="6">
        <f t="shared" si="52"/>
        <v>8121.8961625282163</v>
      </c>
      <c r="N130" s="6">
        <f t="shared" si="52"/>
        <v>10612.790697674418</v>
      </c>
      <c r="O130" s="6">
        <f t="shared" si="52"/>
        <v>14372.984991662035</v>
      </c>
      <c r="P130" s="6">
        <f t="shared" si="52"/>
        <v>21705.882352941175</v>
      </c>
      <c r="Q130" s="6">
        <f t="shared" si="52"/>
        <v>29043.560606060608</v>
      </c>
      <c r="R130" s="6" t="str">
        <f t="shared" si="52"/>
        <v>NA</v>
      </c>
      <c r="S130" s="6" t="str">
        <f t="shared" si="52"/>
        <v>NA</v>
      </c>
    </row>
    <row r="131" spans="1:19" x14ac:dyDescent="0.25">
      <c r="A131">
        <v>1972</v>
      </c>
      <c r="B131" s="13">
        <f t="shared" si="51"/>
        <v>8324.0651965484176</v>
      </c>
      <c r="C131" s="13">
        <f t="shared" si="51"/>
        <v>11433.055733504165</v>
      </c>
      <c r="D131" s="13">
        <f t="shared" si="51"/>
        <v>15499.45295404814</v>
      </c>
      <c r="E131" s="15">
        <f t="shared" si="51"/>
        <v>25039.59873284055</v>
      </c>
      <c r="F131" s="13">
        <f t="shared" si="51"/>
        <v>28019.05387647832</v>
      </c>
      <c r="G131" s="13" t="str">
        <f t="shared" si="51"/>
        <v>NA</v>
      </c>
      <c r="H131" s="13" t="str">
        <f t="shared" si="51"/>
        <v>NA</v>
      </c>
      <c r="I131" s="13" t="str">
        <f t="shared" si="51"/>
        <v>NA</v>
      </c>
      <c r="L131" s="6">
        <f t="shared" si="53"/>
        <v>8324.0651965484176</v>
      </c>
      <c r="M131" s="6">
        <f t="shared" si="52"/>
        <v>11433.055733504165</v>
      </c>
      <c r="N131" s="6">
        <f t="shared" si="52"/>
        <v>15499.45295404814</v>
      </c>
      <c r="O131" s="6">
        <f t="shared" si="52"/>
        <v>25039.59873284055</v>
      </c>
      <c r="P131" s="6">
        <f t="shared" si="52"/>
        <v>28019.05387647832</v>
      </c>
      <c r="Q131" s="6" t="str">
        <f t="shared" si="52"/>
        <v>NA</v>
      </c>
      <c r="R131" s="6" t="str">
        <f t="shared" si="52"/>
        <v>NA</v>
      </c>
      <c r="S131" s="6" t="str">
        <f t="shared" si="52"/>
        <v>NA</v>
      </c>
    </row>
    <row r="132" spans="1:19" x14ac:dyDescent="0.25">
      <c r="A132">
        <v>1973</v>
      </c>
      <c r="B132" s="13">
        <f t="shared" si="51"/>
        <v>10124.080882352942</v>
      </c>
      <c r="C132" s="13">
        <f t="shared" si="51"/>
        <v>13785.302593659942</v>
      </c>
      <c r="D132" s="15">
        <f t="shared" si="51"/>
        <v>30223.376623376618</v>
      </c>
      <c r="E132" s="13">
        <f t="shared" si="51"/>
        <v>33266.382525306341</v>
      </c>
      <c r="F132" s="13" t="str">
        <f t="shared" si="51"/>
        <v>NA</v>
      </c>
      <c r="G132" s="13" t="str">
        <f t="shared" si="51"/>
        <v>NA</v>
      </c>
      <c r="H132" s="13" t="str">
        <f t="shared" si="51"/>
        <v>NA</v>
      </c>
      <c r="I132" s="13" t="str">
        <f t="shared" si="51"/>
        <v>NA</v>
      </c>
      <c r="L132" s="6">
        <f t="shared" si="53"/>
        <v>10124.080882352941</v>
      </c>
      <c r="M132" s="6">
        <f t="shared" si="52"/>
        <v>13785.302593659942</v>
      </c>
      <c r="N132" s="6">
        <f t="shared" si="52"/>
        <v>30223.376623376622</v>
      </c>
      <c r="O132" s="6">
        <f t="shared" si="52"/>
        <v>33266.382525306341</v>
      </c>
      <c r="P132" s="6" t="str">
        <f t="shared" si="52"/>
        <v>NA</v>
      </c>
      <c r="Q132" s="6" t="str">
        <f t="shared" si="52"/>
        <v>NA</v>
      </c>
      <c r="R132" s="6" t="str">
        <f t="shared" si="52"/>
        <v>NA</v>
      </c>
      <c r="S132" s="6" t="str">
        <f t="shared" si="52"/>
        <v>NA</v>
      </c>
    </row>
    <row r="133" spans="1:19" x14ac:dyDescent="0.25">
      <c r="A133">
        <v>1974</v>
      </c>
      <c r="B133" s="13">
        <f t="shared" si="51"/>
        <v>8261.37463697967</v>
      </c>
      <c r="C133" s="15">
        <f t="shared" si="51"/>
        <v>22476.727785613541</v>
      </c>
      <c r="D133" s="13">
        <f t="shared" si="51"/>
        <v>34401.683704149131</v>
      </c>
      <c r="E133" s="13" t="str">
        <f t="shared" si="51"/>
        <v>NA</v>
      </c>
      <c r="F133" s="13" t="str">
        <f t="shared" si="51"/>
        <v>NA</v>
      </c>
      <c r="G133" s="13" t="str">
        <f t="shared" si="51"/>
        <v>NA</v>
      </c>
      <c r="H133" s="13" t="str">
        <f t="shared" si="51"/>
        <v>NA</v>
      </c>
      <c r="I133" s="13" t="str">
        <f t="shared" si="51"/>
        <v>NA</v>
      </c>
      <c r="L133" s="6">
        <f t="shared" si="53"/>
        <v>8261.37463697967</v>
      </c>
      <c r="M133" s="6">
        <f t="shared" si="52"/>
        <v>22476.727785613541</v>
      </c>
      <c r="N133" s="6">
        <f t="shared" si="52"/>
        <v>34401.683704149131</v>
      </c>
      <c r="O133" s="6" t="str">
        <f t="shared" si="52"/>
        <v>NA</v>
      </c>
      <c r="P133" s="6" t="str">
        <f t="shared" si="52"/>
        <v>NA</v>
      </c>
      <c r="Q133" s="6" t="str">
        <f t="shared" si="52"/>
        <v>NA</v>
      </c>
      <c r="R133" s="6" t="str">
        <f t="shared" si="52"/>
        <v>NA</v>
      </c>
      <c r="S133" s="6" t="str">
        <f t="shared" si="52"/>
        <v>NA</v>
      </c>
    </row>
    <row r="134" spans="1:19" x14ac:dyDescent="0.25">
      <c r="A134">
        <v>1975</v>
      </c>
      <c r="B134" s="15">
        <f t="shared" si="51"/>
        <v>11175.746924428822</v>
      </c>
      <c r="C134" s="13">
        <f t="shared" si="51"/>
        <v>32159.646739130436</v>
      </c>
      <c r="D134" s="13" t="str">
        <f t="shared" si="51"/>
        <v>NA</v>
      </c>
      <c r="E134" s="13" t="str">
        <f t="shared" si="51"/>
        <v>NA</v>
      </c>
      <c r="F134" s="13" t="str">
        <f t="shared" si="51"/>
        <v>NA</v>
      </c>
      <c r="G134" s="13" t="str">
        <f t="shared" si="51"/>
        <v>NA</v>
      </c>
      <c r="H134" s="13" t="str">
        <f t="shared" si="51"/>
        <v>NA</v>
      </c>
      <c r="I134" s="13" t="str">
        <f t="shared" si="51"/>
        <v>NA</v>
      </c>
      <c r="L134" s="6">
        <f t="shared" si="53"/>
        <v>11175.746924428822</v>
      </c>
      <c r="M134" s="6">
        <f t="shared" si="52"/>
        <v>32159.646739130436</v>
      </c>
      <c r="N134" s="6" t="str">
        <f t="shared" si="52"/>
        <v>NA</v>
      </c>
      <c r="O134" s="6" t="str">
        <f t="shared" si="52"/>
        <v>NA</v>
      </c>
      <c r="P134" s="6" t="str">
        <f t="shared" si="52"/>
        <v>NA</v>
      </c>
      <c r="Q134" s="6" t="str">
        <f t="shared" si="52"/>
        <v>NA</v>
      </c>
      <c r="R134" s="6" t="str">
        <f t="shared" si="52"/>
        <v>NA</v>
      </c>
      <c r="S134" s="6" t="str">
        <f t="shared" si="52"/>
        <v>NA</v>
      </c>
    </row>
    <row r="135" spans="1:19" x14ac:dyDescent="0.25">
      <c r="A135">
        <v>1976</v>
      </c>
      <c r="B135" s="13">
        <f t="shared" si="51"/>
        <v>13028.428093645485</v>
      </c>
      <c r="C135" s="13" t="str">
        <f t="shared" si="51"/>
        <v>NA</v>
      </c>
      <c r="D135" s="13" t="str">
        <f t="shared" si="51"/>
        <v>NA</v>
      </c>
      <c r="E135" s="13" t="str">
        <f t="shared" si="51"/>
        <v>NA</v>
      </c>
      <c r="F135" s="13" t="str">
        <f t="shared" si="51"/>
        <v>NA</v>
      </c>
      <c r="G135" s="13" t="str">
        <f t="shared" si="51"/>
        <v>NA</v>
      </c>
      <c r="H135" s="13" t="str">
        <f t="shared" si="51"/>
        <v>NA</v>
      </c>
      <c r="I135" s="13" t="str">
        <f t="shared" si="51"/>
        <v>NA</v>
      </c>
      <c r="L135" s="6">
        <f t="shared" si="53"/>
        <v>13028.428093645485</v>
      </c>
      <c r="M135" s="6" t="str">
        <f t="shared" si="52"/>
        <v>NA</v>
      </c>
      <c r="N135" s="6" t="str">
        <f t="shared" si="52"/>
        <v>NA</v>
      </c>
      <c r="O135" s="6" t="str">
        <f t="shared" si="52"/>
        <v>NA</v>
      </c>
      <c r="P135" s="6" t="str">
        <f t="shared" si="52"/>
        <v>NA</v>
      </c>
      <c r="Q135" s="6" t="str">
        <f t="shared" si="52"/>
        <v>NA</v>
      </c>
      <c r="R135" s="6" t="str">
        <f t="shared" si="52"/>
        <v>NA</v>
      </c>
      <c r="S135" s="6" t="str">
        <f t="shared" si="52"/>
        <v>NA</v>
      </c>
    </row>
    <row r="137" spans="1:19" hidden="1" x14ac:dyDescent="0.25">
      <c r="A137">
        <v>1969</v>
      </c>
      <c r="B137" s="13">
        <f>IFERROR(B11 + B29 * B$46 / B58,"NA")</f>
        <v>3793503.650589583</v>
      </c>
      <c r="C137" s="13">
        <f t="shared" ref="C137:I144" si="54">IFERROR(C11 + C29 * C$46 / C58 / C77,"NA")</f>
        <v>29097142.969781816</v>
      </c>
      <c r="D137" s="13">
        <f t="shared" si="54"/>
        <v>33060138.919368133</v>
      </c>
      <c r="E137" s="13">
        <f t="shared" si="54"/>
        <v>45966421.659259148</v>
      </c>
      <c r="F137" s="13">
        <f t="shared" si="54"/>
        <v>34348280.853575811</v>
      </c>
      <c r="G137" s="13">
        <f t="shared" si="54"/>
        <v>30368326.122474588</v>
      </c>
      <c r="H137" s="13">
        <f t="shared" si="54"/>
        <v>25265126.138389356</v>
      </c>
      <c r="I137" s="13">
        <f t="shared" si="54"/>
        <v>23506000</v>
      </c>
      <c r="J137" t="s">
        <v>9</v>
      </c>
    </row>
    <row r="138" spans="1:19" hidden="1" x14ac:dyDescent="0.25">
      <c r="A138">
        <f>A137+1</f>
        <v>1970</v>
      </c>
      <c r="B138" s="13">
        <f t="shared" ref="B138:B144" si="55">IFERROR(B12 + B30 * B$46 / B59 / B78,"NA")</f>
        <v>2931124.3322306485</v>
      </c>
      <c r="C138" s="13">
        <f t="shared" si="54"/>
        <v>23533116.831015609</v>
      </c>
      <c r="D138" s="13">
        <f t="shared" si="54"/>
        <v>36315901.116374113</v>
      </c>
      <c r="E138" s="13">
        <f t="shared" si="54"/>
        <v>49057434.951842785</v>
      </c>
      <c r="F138" s="13">
        <f t="shared" si="54"/>
        <v>36322237.153161168</v>
      </c>
      <c r="G138" s="13">
        <f t="shared" si="54"/>
        <v>34865200.065207131</v>
      </c>
      <c r="H138" s="13">
        <f t="shared" si="54"/>
        <v>32216000</v>
      </c>
      <c r="I138" s="13" t="str">
        <f t="shared" si="54"/>
        <v>NA</v>
      </c>
      <c r="J138" t="s">
        <v>9</v>
      </c>
    </row>
    <row r="139" spans="1:19" hidden="1" x14ac:dyDescent="0.25">
      <c r="A139">
        <f t="shared" ref="A139:A144" si="56">A138+1</f>
        <v>1971</v>
      </c>
      <c r="B139" s="13">
        <f t="shared" si="55"/>
        <v>6563230.6310882038</v>
      </c>
      <c r="C139" s="13">
        <f t="shared" si="54"/>
        <v>56470209.151471257</v>
      </c>
      <c r="D139" s="13">
        <f t="shared" si="54"/>
        <v>85401273.853200868</v>
      </c>
      <c r="E139" s="13">
        <f t="shared" si="54"/>
        <v>84267134.410542265</v>
      </c>
      <c r="F139" s="13">
        <f t="shared" si="54"/>
        <v>50452684.60224811</v>
      </c>
      <c r="G139" s="13">
        <f t="shared" si="54"/>
        <v>48377000</v>
      </c>
      <c r="H139" s="13" t="str">
        <f t="shared" si="54"/>
        <v>NA</v>
      </c>
      <c r="I139" s="13" t="str">
        <f t="shared" si="54"/>
        <v>NA</v>
      </c>
      <c r="J139" t="s">
        <v>9</v>
      </c>
    </row>
    <row r="140" spans="1:19" hidden="1" x14ac:dyDescent="0.25">
      <c r="A140">
        <f t="shared" si="56"/>
        <v>1972</v>
      </c>
      <c r="B140" s="13">
        <f t="shared" si="55"/>
        <v>7002646.5727113225</v>
      </c>
      <c r="C140" s="13">
        <f t="shared" si="54"/>
        <v>61834652.087435149</v>
      </c>
      <c r="D140" s="13">
        <f t="shared" si="54"/>
        <v>83614587.450789496</v>
      </c>
      <c r="E140" s="13">
        <f t="shared" si="54"/>
        <v>73065807.485153571</v>
      </c>
      <c r="F140" s="13">
        <f t="shared" si="54"/>
        <v>61163000</v>
      </c>
      <c r="G140" s="13" t="str">
        <f t="shared" si="54"/>
        <v>NA</v>
      </c>
      <c r="H140" s="13" t="str">
        <f t="shared" si="54"/>
        <v>NA</v>
      </c>
      <c r="I140" s="13" t="str">
        <f t="shared" si="54"/>
        <v>NA</v>
      </c>
      <c r="J140" t="s">
        <v>9</v>
      </c>
    </row>
    <row r="141" spans="1:19" hidden="1" x14ac:dyDescent="0.25">
      <c r="A141">
        <f t="shared" si="56"/>
        <v>1973</v>
      </c>
      <c r="B141" s="13">
        <f t="shared" si="55"/>
        <v>8099245.4135145955</v>
      </c>
      <c r="C141" s="13">
        <f t="shared" si="54"/>
        <v>60372384.440931924</v>
      </c>
      <c r="D141" s="13">
        <f t="shared" si="54"/>
        <v>49196544.322213762</v>
      </c>
      <c r="E141" s="13">
        <f t="shared" si="54"/>
        <v>73733000</v>
      </c>
      <c r="F141" s="13" t="str">
        <f t="shared" si="54"/>
        <v>NA</v>
      </c>
      <c r="G141" s="13" t="str">
        <f t="shared" si="54"/>
        <v>NA</v>
      </c>
      <c r="H141" s="13" t="str">
        <f t="shared" si="54"/>
        <v>NA</v>
      </c>
      <c r="I141" s="13" t="str">
        <f t="shared" si="54"/>
        <v>NA</v>
      </c>
      <c r="J141" t="s">
        <v>9</v>
      </c>
    </row>
    <row r="142" spans="1:19" hidden="1" x14ac:dyDescent="0.25">
      <c r="A142">
        <f t="shared" si="56"/>
        <v>1974</v>
      </c>
      <c r="B142" s="13">
        <f t="shared" si="55"/>
        <v>12307025.235856332</v>
      </c>
      <c r="C142" s="13">
        <f t="shared" si="54"/>
        <v>50923689.32343585</v>
      </c>
      <c r="D142" s="13">
        <f t="shared" si="54"/>
        <v>63477000.000000007</v>
      </c>
      <c r="E142" s="13" t="str">
        <f t="shared" si="54"/>
        <v>NA</v>
      </c>
      <c r="F142" s="13" t="str">
        <f t="shared" si="54"/>
        <v>NA</v>
      </c>
      <c r="G142" s="13" t="str">
        <f t="shared" si="54"/>
        <v>NA</v>
      </c>
      <c r="H142" s="13" t="str">
        <f t="shared" si="54"/>
        <v>NA</v>
      </c>
      <c r="I142" s="13" t="str">
        <f t="shared" si="54"/>
        <v>NA</v>
      </c>
      <c r="J142" t="s">
        <v>9</v>
      </c>
    </row>
    <row r="143" spans="1:19" hidden="1" x14ac:dyDescent="0.25">
      <c r="A143">
        <f t="shared" si="56"/>
        <v>1975</v>
      </c>
      <c r="B143" s="13">
        <f t="shared" si="55"/>
        <v>13279352.252959121</v>
      </c>
      <c r="C143" s="13">
        <f t="shared" si="54"/>
        <v>48904000</v>
      </c>
      <c r="D143" s="13" t="str">
        <f t="shared" si="54"/>
        <v>NA</v>
      </c>
      <c r="E143" s="13" t="str">
        <f t="shared" si="54"/>
        <v>NA</v>
      </c>
      <c r="F143" s="13" t="str">
        <f t="shared" si="54"/>
        <v>NA</v>
      </c>
      <c r="G143" s="13" t="str">
        <f t="shared" si="54"/>
        <v>NA</v>
      </c>
      <c r="H143" s="13" t="str">
        <f t="shared" si="54"/>
        <v>NA</v>
      </c>
      <c r="I143" s="13" t="str">
        <f t="shared" si="54"/>
        <v>NA</v>
      </c>
      <c r="J143" t="s">
        <v>9</v>
      </c>
    </row>
    <row r="144" spans="1:19" hidden="1" x14ac:dyDescent="0.25">
      <c r="A144">
        <f t="shared" si="56"/>
        <v>1976</v>
      </c>
      <c r="B144" s="13">
        <f t="shared" si="55"/>
        <v>15791000</v>
      </c>
      <c r="C144" s="13" t="str">
        <f t="shared" si="54"/>
        <v>NA</v>
      </c>
      <c r="D144" s="13" t="str">
        <f t="shared" si="54"/>
        <v>NA</v>
      </c>
      <c r="E144" s="13" t="str">
        <f t="shared" si="54"/>
        <v>NA</v>
      </c>
      <c r="F144" s="13" t="str">
        <f t="shared" si="54"/>
        <v>NA</v>
      </c>
      <c r="G144" s="13" t="str">
        <f t="shared" si="54"/>
        <v>NA</v>
      </c>
      <c r="H144" s="13" t="str">
        <f t="shared" si="54"/>
        <v>NA</v>
      </c>
      <c r="I144" s="13" t="str">
        <f t="shared" si="54"/>
        <v>NA</v>
      </c>
      <c r="J144" t="s">
        <v>9</v>
      </c>
    </row>
    <row r="145" spans="1:11" hidden="1" x14ac:dyDescent="0.25">
      <c r="B145" s="13"/>
      <c r="C145" s="13"/>
      <c r="D145" s="13"/>
      <c r="E145" s="13"/>
      <c r="F145" s="13"/>
      <c r="G145" s="13"/>
      <c r="H145" s="13"/>
      <c r="I145" s="13"/>
    </row>
    <row r="146" spans="1:11" hidden="1" x14ac:dyDescent="0.25">
      <c r="A146">
        <v>1969</v>
      </c>
      <c r="B146" s="13">
        <f t="shared" ref="B146:I153" si="57">IFERROR(C11-B11,"NA")</f>
        <v>281000</v>
      </c>
      <c r="C146" s="13">
        <f t="shared" si="57"/>
        <v>1037000</v>
      </c>
      <c r="D146" s="13">
        <f t="shared" si="57"/>
        <v>1543000</v>
      </c>
      <c r="E146" s="13">
        <f t="shared" si="57"/>
        <v>1481000</v>
      </c>
      <c r="F146" s="13">
        <f t="shared" si="57"/>
        <v>3712000</v>
      </c>
      <c r="G146" s="13">
        <f t="shared" si="57"/>
        <v>4459000</v>
      </c>
      <c r="H146" s="13">
        <f t="shared" si="57"/>
        <v>3177000</v>
      </c>
      <c r="I146" s="13" t="str">
        <f t="shared" si="57"/>
        <v>NA</v>
      </c>
      <c r="J146" t="s">
        <v>11</v>
      </c>
      <c r="K146" t="s">
        <v>2</v>
      </c>
    </row>
    <row r="147" spans="1:11" hidden="1" x14ac:dyDescent="0.25">
      <c r="A147">
        <f>A146+1</f>
        <v>1970</v>
      </c>
      <c r="B147" s="13">
        <f t="shared" si="57"/>
        <v>486000</v>
      </c>
      <c r="C147" s="13">
        <f t="shared" si="57"/>
        <v>1487000</v>
      </c>
      <c r="D147" s="13">
        <f t="shared" si="57"/>
        <v>1625000</v>
      </c>
      <c r="E147" s="13">
        <f t="shared" si="57"/>
        <v>3882000</v>
      </c>
      <c r="F147" s="13">
        <f t="shared" si="57"/>
        <v>6772000</v>
      </c>
      <c r="G147" s="13">
        <f t="shared" si="57"/>
        <v>4688000</v>
      </c>
      <c r="H147" s="13" t="str">
        <f t="shared" si="57"/>
        <v>NA</v>
      </c>
      <c r="I147" s="13" t="str">
        <f t="shared" si="57"/>
        <v>NA</v>
      </c>
      <c r="J147" t="s">
        <v>11</v>
      </c>
      <c r="K147" t="s">
        <v>2</v>
      </c>
    </row>
    <row r="148" spans="1:11" hidden="1" x14ac:dyDescent="0.25">
      <c r="A148">
        <f t="shared" ref="A148:A153" si="58">A147+1</f>
        <v>1971</v>
      </c>
      <c r="B148" s="13">
        <f t="shared" si="57"/>
        <v>852000</v>
      </c>
      <c r="C148" s="13">
        <f t="shared" si="57"/>
        <v>1332000</v>
      </c>
      <c r="D148" s="13">
        <f t="shared" si="57"/>
        <v>2592000</v>
      </c>
      <c r="E148" s="13">
        <f t="shared" si="57"/>
        <v>6328000</v>
      </c>
      <c r="F148" s="13">
        <f t="shared" si="57"/>
        <v>6308000</v>
      </c>
      <c r="G148" s="13" t="str">
        <f t="shared" si="57"/>
        <v>NA</v>
      </c>
      <c r="H148" s="13" t="str">
        <f t="shared" si="57"/>
        <v>NA</v>
      </c>
      <c r="I148" s="13" t="str">
        <f t="shared" si="57"/>
        <v>NA</v>
      </c>
      <c r="J148" t="s">
        <v>11</v>
      </c>
      <c r="K148" t="s">
        <v>2</v>
      </c>
    </row>
    <row r="149" spans="1:11" hidden="1" x14ac:dyDescent="0.25">
      <c r="A149">
        <f t="shared" si="58"/>
        <v>1972</v>
      </c>
      <c r="B149" s="13">
        <f t="shared" si="57"/>
        <v>736000</v>
      </c>
      <c r="C149" s="13">
        <f t="shared" si="57"/>
        <v>3024000</v>
      </c>
      <c r="D149" s="13">
        <f t="shared" si="57"/>
        <v>5961000</v>
      </c>
      <c r="E149" s="13">
        <f t="shared" si="57"/>
        <v>8747000</v>
      </c>
      <c r="F149" s="13" t="str">
        <f t="shared" si="57"/>
        <v>NA</v>
      </c>
      <c r="G149" s="13" t="str">
        <f t="shared" si="57"/>
        <v>NA</v>
      </c>
      <c r="H149" s="13" t="str">
        <f t="shared" si="57"/>
        <v>NA</v>
      </c>
      <c r="I149" s="13" t="str">
        <f t="shared" si="57"/>
        <v>NA</v>
      </c>
      <c r="J149" t="s">
        <v>11</v>
      </c>
      <c r="K149" t="s">
        <v>2</v>
      </c>
    </row>
    <row r="150" spans="1:11" hidden="1" x14ac:dyDescent="0.25">
      <c r="A150">
        <f t="shared" si="58"/>
        <v>1973</v>
      </c>
      <c r="B150" s="13">
        <f t="shared" si="57"/>
        <v>620000</v>
      </c>
      <c r="C150" s="13">
        <f t="shared" si="57"/>
        <v>2766000</v>
      </c>
      <c r="D150" s="13">
        <f t="shared" si="57"/>
        <v>7693000</v>
      </c>
      <c r="E150" s="13" t="str">
        <f t="shared" si="57"/>
        <v>NA</v>
      </c>
      <c r="F150" s="13" t="str">
        <f t="shared" si="57"/>
        <v>NA</v>
      </c>
      <c r="G150" s="13" t="str">
        <f t="shared" si="57"/>
        <v>NA</v>
      </c>
      <c r="H150" s="13" t="str">
        <f t="shared" si="57"/>
        <v>NA</v>
      </c>
      <c r="I150" s="13" t="str">
        <f t="shared" si="57"/>
        <v>NA</v>
      </c>
      <c r="J150" t="s">
        <v>11</v>
      </c>
      <c r="K150" t="s">
        <v>2</v>
      </c>
    </row>
    <row r="151" spans="1:11" hidden="1" x14ac:dyDescent="0.25">
      <c r="A151">
        <f t="shared" si="58"/>
        <v>1974</v>
      </c>
      <c r="B151" s="13">
        <f t="shared" si="57"/>
        <v>1415000</v>
      </c>
      <c r="C151" s="13">
        <f t="shared" si="57"/>
        <v>4680000</v>
      </c>
      <c r="D151" s="13" t="str">
        <f t="shared" si="57"/>
        <v>NA</v>
      </c>
      <c r="E151" s="13" t="str">
        <f t="shared" si="57"/>
        <v>NA</v>
      </c>
      <c r="F151" s="13" t="str">
        <f t="shared" si="57"/>
        <v>NA</v>
      </c>
      <c r="G151" s="13" t="str">
        <f t="shared" si="57"/>
        <v>NA</v>
      </c>
      <c r="H151" s="13" t="str">
        <f t="shared" si="57"/>
        <v>NA</v>
      </c>
      <c r="I151" s="13" t="str">
        <f t="shared" si="57"/>
        <v>NA</v>
      </c>
      <c r="J151" t="s">
        <v>11</v>
      </c>
      <c r="K151" t="s">
        <v>2</v>
      </c>
    </row>
    <row r="152" spans="1:11" hidden="1" x14ac:dyDescent="0.25">
      <c r="A152">
        <f t="shared" si="58"/>
        <v>1975</v>
      </c>
      <c r="B152" s="13">
        <f t="shared" si="57"/>
        <v>1355000</v>
      </c>
      <c r="C152" s="13" t="str">
        <f t="shared" si="57"/>
        <v>NA</v>
      </c>
      <c r="D152" s="13" t="str">
        <f t="shared" si="57"/>
        <v>NA</v>
      </c>
      <c r="E152" s="13" t="str">
        <f t="shared" si="57"/>
        <v>NA</v>
      </c>
      <c r="F152" s="13" t="str">
        <f t="shared" si="57"/>
        <v>NA</v>
      </c>
      <c r="G152" s="13" t="str">
        <f t="shared" si="57"/>
        <v>NA</v>
      </c>
      <c r="H152" s="13" t="str">
        <f t="shared" si="57"/>
        <v>NA</v>
      </c>
      <c r="I152" s="13" t="str">
        <f t="shared" si="57"/>
        <v>NA</v>
      </c>
      <c r="J152" t="s">
        <v>11</v>
      </c>
      <c r="K152" t="s">
        <v>2</v>
      </c>
    </row>
    <row r="153" spans="1:11" hidden="1" x14ac:dyDescent="0.25">
      <c r="A153">
        <f t="shared" si="58"/>
        <v>1976</v>
      </c>
      <c r="B153" s="13" t="str">
        <f t="shared" si="57"/>
        <v>NA</v>
      </c>
      <c r="C153" s="13" t="str">
        <f t="shared" si="57"/>
        <v>NA</v>
      </c>
      <c r="D153" s="13" t="str">
        <f t="shared" si="57"/>
        <v>NA</v>
      </c>
      <c r="E153" s="13" t="str">
        <f t="shared" si="57"/>
        <v>NA</v>
      </c>
      <c r="F153" s="13" t="str">
        <f t="shared" si="57"/>
        <v>NA</v>
      </c>
      <c r="G153" s="13" t="str">
        <f t="shared" si="57"/>
        <v>NA</v>
      </c>
      <c r="H153" s="13" t="str">
        <f t="shared" si="57"/>
        <v>NA</v>
      </c>
      <c r="I153" s="13" t="str">
        <f t="shared" si="57"/>
        <v>NA</v>
      </c>
      <c r="J153" t="s">
        <v>11</v>
      </c>
      <c r="K153" t="s">
        <v>2</v>
      </c>
    </row>
    <row r="154" spans="1:11" hidden="1" x14ac:dyDescent="0.25">
      <c r="B154" s="13"/>
      <c r="C154" s="13"/>
      <c r="D154" s="13"/>
      <c r="E154" s="13"/>
      <c r="F154" s="13"/>
      <c r="G154" s="13"/>
      <c r="H154" s="13"/>
      <c r="I154" s="13"/>
    </row>
    <row r="155" spans="1:11" hidden="1" x14ac:dyDescent="0.25">
      <c r="A155">
        <v>1969</v>
      </c>
      <c r="B155" s="13">
        <f t="shared" ref="B155:I162" si="59">IFERROR(C$46/C58*C29*C77-B$46/B58*B29*B77,"NA")</f>
        <v>1982000.0000000009</v>
      </c>
      <c r="C155" s="13">
        <f t="shared" si="59"/>
        <v>4516999.9999999991</v>
      </c>
      <c r="D155" s="13">
        <f t="shared" si="59"/>
        <v>2971000</v>
      </c>
      <c r="E155" s="13">
        <f t="shared" si="59"/>
        <v>-98000.000000001863</v>
      </c>
      <c r="F155" s="13">
        <f t="shared" si="59"/>
        <v>576000.00000000373</v>
      </c>
      <c r="G155" s="13">
        <f t="shared" si="59"/>
        <v>-2466000.0000000019</v>
      </c>
      <c r="H155" s="13">
        <f t="shared" si="59"/>
        <v>-2563000</v>
      </c>
      <c r="I155" s="13" t="str">
        <f t="shared" si="59"/>
        <v>NA</v>
      </c>
      <c r="J155" t="s">
        <v>12</v>
      </c>
    </row>
    <row r="156" spans="1:11" hidden="1" x14ac:dyDescent="0.25">
      <c r="A156">
        <f>A155+1</f>
        <v>1970</v>
      </c>
      <c r="B156" s="13">
        <f t="shared" si="59"/>
        <v>5392999.9999999991</v>
      </c>
      <c r="C156" s="13">
        <f t="shared" si="59"/>
        <v>4713000.0000000037</v>
      </c>
      <c r="D156" s="13">
        <f t="shared" si="59"/>
        <v>4308000</v>
      </c>
      <c r="E156" s="13">
        <f t="shared" si="59"/>
        <v>-511000.00000000373</v>
      </c>
      <c r="F156" s="13">
        <f t="shared" si="59"/>
        <v>-1013000.0000000037</v>
      </c>
      <c r="G156" s="13">
        <f t="shared" si="59"/>
        <v>-4441999.9999999963</v>
      </c>
      <c r="H156" s="13" t="str">
        <f t="shared" si="59"/>
        <v>NA</v>
      </c>
      <c r="I156" s="13" t="str">
        <f t="shared" si="59"/>
        <v>NA</v>
      </c>
      <c r="J156" t="s">
        <v>12</v>
      </c>
    </row>
    <row r="157" spans="1:11" hidden="1" x14ac:dyDescent="0.25">
      <c r="A157">
        <f t="shared" ref="A157:A162" si="60">A156+1</f>
        <v>1971</v>
      </c>
      <c r="B157" s="13">
        <f t="shared" si="59"/>
        <v>5634000</v>
      </c>
      <c r="C157" s="13">
        <f t="shared" si="59"/>
        <v>7460000</v>
      </c>
      <c r="D157" s="13">
        <f t="shared" si="59"/>
        <v>7603000.0000000037</v>
      </c>
      <c r="E157" s="13">
        <f t="shared" si="59"/>
        <v>5138999.9999999963</v>
      </c>
      <c r="F157" s="13">
        <f t="shared" si="59"/>
        <v>-326000</v>
      </c>
      <c r="G157" s="13" t="str">
        <f t="shared" si="59"/>
        <v>NA</v>
      </c>
      <c r="H157" s="13" t="str">
        <f t="shared" si="59"/>
        <v>NA</v>
      </c>
      <c r="I157" s="13" t="str">
        <f t="shared" si="59"/>
        <v>NA</v>
      </c>
      <c r="J157" t="s">
        <v>12</v>
      </c>
    </row>
    <row r="158" spans="1:11" hidden="1" x14ac:dyDescent="0.25">
      <c r="A158">
        <f t="shared" si="60"/>
        <v>1972</v>
      </c>
      <c r="B158" s="13">
        <f t="shared" si="59"/>
        <v>9165000.0000000037</v>
      </c>
      <c r="C158" s="13">
        <f t="shared" si="59"/>
        <v>10485999.999999996</v>
      </c>
      <c r="D158" s="13">
        <f t="shared" si="59"/>
        <v>19092000</v>
      </c>
      <c r="E158" s="13">
        <f t="shared" si="59"/>
        <v>-4780000</v>
      </c>
      <c r="F158" s="13" t="str">
        <f t="shared" si="59"/>
        <v>NA</v>
      </c>
      <c r="G158" s="13" t="str">
        <f t="shared" si="59"/>
        <v>NA</v>
      </c>
      <c r="H158" s="13" t="str">
        <f t="shared" si="59"/>
        <v>NA</v>
      </c>
      <c r="I158" s="13" t="str">
        <f t="shared" si="59"/>
        <v>NA</v>
      </c>
      <c r="J158" t="s">
        <v>12</v>
      </c>
    </row>
    <row r="159" spans="1:11" hidden="1" x14ac:dyDescent="0.25">
      <c r="A159">
        <f t="shared" si="60"/>
        <v>1973</v>
      </c>
      <c r="B159" s="13">
        <f t="shared" si="59"/>
        <v>8119000</v>
      </c>
      <c r="C159" s="13">
        <f t="shared" si="59"/>
        <v>27410000</v>
      </c>
      <c r="D159" s="13">
        <f t="shared" si="59"/>
        <v>15897000</v>
      </c>
      <c r="E159" s="13" t="str">
        <f t="shared" si="59"/>
        <v>NA</v>
      </c>
      <c r="F159" s="13" t="str">
        <f t="shared" si="59"/>
        <v>NA</v>
      </c>
      <c r="G159" s="13" t="str">
        <f t="shared" si="59"/>
        <v>NA</v>
      </c>
      <c r="H159" s="13" t="str">
        <f t="shared" si="59"/>
        <v>NA</v>
      </c>
      <c r="I159" s="13" t="str">
        <f t="shared" si="59"/>
        <v>NA</v>
      </c>
      <c r="J159" t="s">
        <v>12</v>
      </c>
    </row>
    <row r="160" spans="1:11" hidden="1" x14ac:dyDescent="0.25">
      <c r="A160">
        <f t="shared" si="60"/>
        <v>1974</v>
      </c>
      <c r="B160" s="13">
        <f t="shared" si="59"/>
        <v>23338000</v>
      </c>
      <c r="C160" s="13">
        <f t="shared" si="59"/>
        <v>25338000.000000007</v>
      </c>
      <c r="D160" s="13" t="str">
        <f t="shared" si="59"/>
        <v>NA</v>
      </c>
      <c r="E160" s="13" t="str">
        <f t="shared" si="59"/>
        <v>NA</v>
      </c>
      <c r="F160" s="13" t="str">
        <f t="shared" si="59"/>
        <v>NA</v>
      </c>
      <c r="G160" s="13" t="str">
        <f t="shared" si="59"/>
        <v>NA</v>
      </c>
      <c r="H160" s="13" t="str">
        <f t="shared" si="59"/>
        <v>NA</v>
      </c>
      <c r="I160" s="13" t="str">
        <f t="shared" si="59"/>
        <v>NA</v>
      </c>
      <c r="J160" t="s">
        <v>12</v>
      </c>
    </row>
    <row r="161" spans="1:13" hidden="1" x14ac:dyDescent="0.25">
      <c r="A161">
        <f t="shared" si="60"/>
        <v>1975</v>
      </c>
      <c r="B161" s="13">
        <f t="shared" si="59"/>
        <v>34621000</v>
      </c>
      <c r="C161" s="13" t="str">
        <f t="shared" si="59"/>
        <v>NA</v>
      </c>
      <c r="D161" s="13" t="str">
        <f t="shared" si="59"/>
        <v>NA</v>
      </c>
      <c r="E161" s="13" t="str">
        <f t="shared" si="59"/>
        <v>NA</v>
      </c>
      <c r="F161" s="13" t="str">
        <f t="shared" si="59"/>
        <v>NA</v>
      </c>
      <c r="G161" s="13" t="str">
        <f t="shared" si="59"/>
        <v>NA</v>
      </c>
      <c r="H161" s="13" t="str">
        <f t="shared" si="59"/>
        <v>NA</v>
      </c>
      <c r="I161" s="13" t="str">
        <f t="shared" si="59"/>
        <v>NA</v>
      </c>
      <c r="J161" t="s">
        <v>12</v>
      </c>
    </row>
    <row r="162" spans="1:13" hidden="1" x14ac:dyDescent="0.25">
      <c r="A162">
        <f t="shared" si="60"/>
        <v>1976</v>
      </c>
      <c r="B162" s="13" t="str">
        <f t="shared" si="59"/>
        <v>NA</v>
      </c>
      <c r="C162" s="13" t="str">
        <f t="shared" si="59"/>
        <v>NA</v>
      </c>
      <c r="D162" s="13" t="str">
        <f t="shared" si="59"/>
        <v>NA</v>
      </c>
      <c r="E162" s="13" t="str">
        <f t="shared" si="59"/>
        <v>NA</v>
      </c>
      <c r="F162" s="13" t="str">
        <f t="shared" si="59"/>
        <v>NA</v>
      </c>
      <c r="G162" s="13" t="str">
        <f t="shared" si="59"/>
        <v>NA</v>
      </c>
      <c r="H162" s="13" t="str">
        <f t="shared" si="59"/>
        <v>NA</v>
      </c>
      <c r="I162" s="13" t="str">
        <f t="shared" si="59"/>
        <v>NA</v>
      </c>
      <c r="J162" t="s">
        <v>12</v>
      </c>
    </row>
    <row r="163" spans="1:13" hidden="1" x14ac:dyDescent="0.25"/>
    <row r="164" spans="1:13" hidden="1" x14ac:dyDescent="0.25">
      <c r="A164">
        <v>1969</v>
      </c>
      <c r="B164" s="2">
        <f>IFERROR(1+(B146+B155)/B137,"NA")</f>
        <v>1.5965461505878049</v>
      </c>
      <c r="C164" s="2">
        <f t="shared" ref="C164:I164" si="61">IFERROR(1+(C146+C155)/C137,"NA")</f>
        <v>1.1908778468651708</v>
      </c>
      <c r="D164" s="2">
        <f t="shared" si="61"/>
        <v>1.1365390511821321</v>
      </c>
      <c r="E164" s="2">
        <f t="shared" si="61"/>
        <v>1.0300871799473956</v>
      </c>
      <c r="F164" s="2">
        <f t="shared" si="61"/>
        <v>1.124838853457599</v>
      </c>
      <c r="G164" s="2">
        <f t="shared" si="61"/>
        <v>1.0656275881641382</v>
      </c>
      <c r="H164" s="2">
        <f t="shared" si="61"/>
        <v>1.0243022732851925</v>
      </c>
      <c r="I164" s="2" t="str">
        <f t="shared" si="61"/>
        <v>NA</v>
      </c>
      <c r="L164" s="1"/>
      <c r="M164" s="1"/>
    </row>
    <row r="165" spans="1:13" hidden="1" x14ac:dyDescent="0.25">
      <c r="A165">
        <f>A164+1</f>
        <v>1970</v>
      </c>
      <c r="B165" s="2">
        <f t="shared" ref="B165:I171" si="62">IFERROR(1+(B147+B156)/B138,"NA")</f>
        <v>3.0057149863465376</v>
      </c>
      <c r="C165" s="2">
        <f t="shared" si="62"/>
        <v>1.263458514421204</v>
      </c>
      <c r="D165" s="2">
        <f t="shared" si="62"/>
        <v>1.1633719615269282</v>
      </c>
      <c r="E165" s="2">
        <f t="shared" si="62"/>
        <v>1.0687153741998361</v>
      </c>
      <c r="F165" s="2">
        <f t="shared" si="62"/>
        <v>1.1585530091584346</v>
      </c>
      <c r="G165" s="2">
        <f t="shared" si="62"/>
        <v>1.0070557461176164</v>
      </c>
      <c r="H165" s="2" t="str">
        <f t="shared" si="62"/>
        <v>NA</v>
      </c>
      <c r="I165" s="2" t="str">
        <f t="shared" si="62"/>
        <v>NA</v>
      </c>
      <c r="L165" s="1"/>
      <c r="M165" s="1"/>
    </row>
    <row r="166" spans="1:13" hidden="1" x14ac:dyDescent="0.25">
      <c r="A166">
        <f t="shared" ref="A166:A171" si="63">A165+1</f>
        <v>1971</v>
      </c>
      <c r="B166" s="2">
        <f t="shared" si="62"/>
        <v>1.9882328329706436</v>
      </c>
      <c r="C166" s="2">
        <f t="shared" si="62"/>
        <v>1.1556927118229194</v>
      </c>
      <c r="D166" s="2">
        <f t="shared" si="62"/>
        <v>1.1193776104268016</v>
      </c>
      <c r="E166" s="2">
        <f t="shared" si="62"/>
        <v>1.1360791497208598</v>
      </c>
      <c r="F166" s="2">
        <f t="shared" si="62"/>
        <v>1.1185665351043272</v>
      </c>
      <c r="G166" s="2" t="str">
        <f t="shared" si="62"/>
        <v>NA</v>
      </c>
      <c r="H166" s="2" t="str">
        <f t="shared" si="62"/>
        <v>NA</v>
      </c>
      <c r="I166" s="2" t="str">
        <f t="shared" si="62"/>
        <v>NA</v>
      </c>
      <c r="L166" s="1"/>
      <c r="M166" s="1"/>
    </row>
    <row r="167" spans="1:13" hidden="1" x14ac:dyDescent="0.25">
      <c r="A167">
        <f t="shared" si="63"/>
        <v>1972</v>
      </c>
      <c r="B167" s="2">
        <f t="shared" si="62"/>
        <v>2.4138940038161145</v>
      </c>
      <c r="C167" s="2">
        <f t="shared" si="62"/>
        <v>1.2184859062665485</v>
      </c>
      <c r="D167" s="2">
        <f t="shared" si="62"/>
        <v>1.2996247516588499</v>
      </c>
      <c r="E167" s="2">
        <f t="shared" si="62"/>
        <v>1.0542935216422</v>
      </c>
      <c r="F167" s="2" t="str">
        <f t="shared" si="62"/>
        <v>NA</v>
      </c>
      <c r="G167" s="2" t="str">
        <f t="shared" si="62"/>
        <v>NA</v>
      </c>
      <c r="H167" s="2" t="str">
        <f t="shared" si="62"/>
        <v>NA</v>
      </c>
      <c r="I167" s="2" t="str">
        <f t="shared" si="62"/>
        <v>NA</v>
      </c>
      <c r="L167" s="1"/>
      <c r="M167" s="1"/>
    </row>
    <row r="168" spans="1:13" hidden="1" x14ac:dyDescent="0.25">
      <c r="A168">
        <f t="shared" si="63"/>
        <v>1973</v>
      </c>
      <c r="B168" s="2">
        <f t="shared" si="62"/>
        <v>2.0789894062745518</v>
      </c>
      <c r="C168" s="2">
        <f t="shared" si="62"/>
        <v>1.4998311774404747</v>
      </c>
      <c r="D168" s="2">
        <f t="shared" si="62"/>
        <v>1.4795052238933049</v>
      </c>
      <c r="E168" s="2" t="str">
        <f t="shared" si="62"/>
        <v>NA</v>
      </c>
      <c r="F168" s="2" t="str">
        <f t="shared" si="62"/>
        <v>NA</v>
      </c>
      <c r="G168" s="2" t="str">
        <f t="shared" si="62"/>
        <v>NA</v>
      </c>
      <c r="H168" s="2" t="str">
        <f t="shared" si="62"/>
        <v>NA</v>
      </c>
      <c r="I168" s="2" t="str">
        <f t="shared" si="62"/>
        <v>NA</v>
      </c>
      <c r="L168" s="1"/>
      <c r="M168" s="1"/>
    </row>
    <row r="169" spans="1:13" hidden="1" x14ac:dyDescent="0.25">
      <c r="A169">
        <f t="shared" si="63"/>
        <v>1974</v>
      </c>
      <c r="B169" s="2">
        <f t="shared" si="62"/>
        <v>3.011290261100831</v>
      </c>
      <c r="C169" s="2">
        <f t="shared" si="62"/>
        <v>1.589470252427003</v>
      </c>
      <c r="D169" s="2" t="str">
        <f t="shared" si="62"/>
        <v>NA</v>
      </c>
      <c r="E169" s="2" t="str">
        <f t="shared" si="62"/>
        <v>NA</v>
      </c>
      <c r="F169" s="2" t="str">
        <f t="shared" si="62"/>
        <v>NA</v>
      </c>
      <c r="G169" s="2" t="str">
        <f t="shared" si="62"/>
        <v>NA</v>
      </c>
      <c r="H169" s="2" t="str">
        <f t="shared" si="62"/>
        <v>NA</v>
      </c>
      <c r="I169" s="2" t="str">
        <f t="shared" si="62"/>
        <v>NA</v>
      </c>
      <c r="L169" s="1"/>
      <c r="M169" s="1"/>
    </row>
    <row r="170" spans="1:13" hidden="1" x14ac:dyDescent="0.25">
      <c r="A170">
        <f t="shared" si="63"/>
        <v>1975</v>
      </c>
      <c r="B170" s="2">
        <f t="shared" si="62"/>
        <v>3.7091682873299217</v>
      </c>
      <c r="C170" s="2" t="str">
        <f t="shared" si="62"/>
        <v>NA</v>
      </c>
      <c r="D170" s="2" t="str">
        <f t="shared" si="62"/>
        <v>NA</v>
      </c>
      <c r="E170" s="2" t="str">
        <f t="shared" si="62"/>
        <v>NA</v>
      </c>
      <c r="F170" s="2" t="str">
        <f t="shared" si="62"/>
        <v>NA</v>
      </c>
      <c r="G170" s="2" t="str">
        <f t="shared" si="62"/>
        <v>NA</v>
      </c>
      <c r="H170" s="2" t="str">
        <f t="shared" si="62"/>
        <v>NA</v>
      </c>
      <c r="I170" s="2" t="str">
        <f t="shared" si="62"/>
        <v>NA</v>
      </c>
      <c r="L170" s="1"/>
      <c r="M170" s="1"/>
    </row>
    <row r="171" spans="1:13" hidden="1" x14ac:dyDescent="0.25">
      <c r="A171">
        <f t="shared" si="63"/>
        <v>1976</v>
      </c>
      <c r="B171" s="2" t="str">
        <f t="shared" si="62"/>
        <v>NA</v>
      </c>
      <c r="C171" s="2" t="str">
        <f t="shared" si="62"/>
        <v>NA</v>
      </c>
      <c r="D171" s="2" t="str">
        <f t="shared" si="62"/>
        <v>NA</v>
      </c>
      <c r="E171" s="2" t="str">
        <f t="shared" si="62"/>
        <v>NA</v>
      </c>
      <c r="F171" s="2" t="str">
        <f t="shared" si="62"/>
        <v>NA</v>
      </c>
      <c r="G171" s="2" t="str">
        <f t="shared" si="62"/>
        <v>NA</v>
      </c>
      <c r="H171" s="2" t="str">
        <f t="shared" si="62"/>
        <v>NA</v>
      </c>
      <c r="I171" s="2" t="str">
        <f t="shared" si="62"/>
        <v>NA</v>
      </c>
      <c r="L171" s="1"/>
      <c r="M171" s="1"/>
    </row>
    <row r="172" spans="1:13" hidden="1" x14ac:dyDescent="0.25">
      <c r="L172" s="1"/>
      <c r="M172" s="1"/>
    </row>
    <row r="173" spans="1:13" hidden="1" x14ac:dyDescent="0.25">
      <c r="B173" s="2">
        <f>AVERAGE(B164:B171)</f>
        <v>2.5434051326323437</v>
      </c>
      <c r="C173" s="2">
        <f t="shared" ref="C173:H173" si="64">AVERAGE(C164:C171)</f>
        <v>1.3196360682072201</v>
      </c>
      <c r="D173" s="2">
        <f t="shared" si="64"/>
        <v>1.2396837197376034</v>
      </c>
      <c r="E173" s="2">
        <f t="shared" si="64"/>
        <v>1.0722938063775729</v>
      </c>
      <c r="F173" s="2">
        <f t="shared" si="64"/>
        <v>1.1339861325734537</v>
      </c>
      <c r="G173" s="2">
        <f t="shared" si="64"/>
        <v>1.0363416671408774</v>
      </c>
      <c r="H173" s="2">
        <f t="shared" si="64"/>
        <v>1.0243022732851925</v>
      </c>
      <c r="L173" s="4"/>
      <c r="M173" s="1"/>
    </row>
    <row r="174" spans="1:13" x14ac:dyDescent="0.25">
      <c r="L174" s="1"/>
      <c r="M174" s="1"/>
    </row>
    <row r="175" spans="1:13" x14ac:dyDescent="0.25">
      <c r="A175" t="s">
        <v>14</v>
      </c>
    </row>
    <row r="176" spans="1:13" x14ac:dyDescent="0.25">
      <c r="A176">
        <v>1969</v>
      </c>
      <c r="B176" s="13">
        <f t="shared" ref="B176:I176" si="65">B11+B29*B38/B77</f>
        <v>3793503.650589583</v>
      </c>
      <c r="C176" s="13">
        <f t="shared" si="65"/>
        <v>12084942.318478277</v>
      </c>
      <c r="D176" s="13">
        <f t="shared" si="65"/>
        <v>18563820.50958604</v>
      </c>
      <c r="E176" s="13">
        <f t="shared" si="65"/>
        <v>25924315.586647823</v>
      </c>
      <c r="F176" s="13">
        <f t="shared" si="65"/>
        <v>23516364.154370736</v>
      </c>
      <c r="G176" s="13">
        <f t="shared" si="65"/>
        <v>24979244.887437705</v>
      </c>
      <c r="H176" s="13">
        <f t="shared" si="65"/>
        <v>24016864.241348714</v>
      </c>
      <c r="I176" s="13">
        <f t="shared" si="65"/>
        <v>23506000</v>
      </c>
    </row>
    <row r="177" spans="1:10" x14ac:dyDescent="0.25">
      <c r="A177">
        <f>A176+1</f>
        <v>1970</v>
      </c>
      <c r="B177" s="13">
        <f t="shared" ref="B177:H177" si="66">B12+B30*B39/B78</f>
        <v>3760482.3375133406</v>
      </c>
      <c r="C177" s="13">
        <f t="shared" si="66"/>
        <v>15830499.962620556</v>
      </c>
      <c r="D177" s="13">
        <f t="shared" si="66"/>
        <v>24615996.184157353</v>
      </c>
      <c r="E177" s="13">
        <f t="shared" si="66"/>
        <v>33169801.781319026</v>
      </c>
      <c r="F177" s="13">
        <f t="shared" si="66"/>
        <v>30722141.016819481</v>
      </c>
      <c r="G177" s="13">
        <f t="shared" si="66"/>
        <v>33362728.919631097</v>
      </c>
      <c r="H177" s="13">
        <f t="shared" si="66"/>
        <v>32216000</v>
      </c>
      <c r="I177" s="13"/>
    </row>
    <row r="178" spans="1:10" x14ac:dyDescent="0.25">
      <c r="A178">
        <f t="shared" ref="A178:A183" si="67">A177+1</f>
        <v>1971</v>
      </c>
      <c r="B178" s="13">
        <f t="shared" ref="B178:G178" si="68">B13+B31*B40/B79</f>
        <v>5982184.7214957885</v>
      </c>
      <c r="C178" s="13">
        <f t="shared" si="68"/>
        <v>25583831.209896684</v>
      </c>
      <c r="D178" s="13">
        <f t="shared" si="68"/>
        <v>41384824.588566795</v>
      </c>
      <c r="E178" s="13">
        <f t="shared" si="68"/>
        <v>50323341.900208779</v>
      </c>
      <c r="F178" s="13">
        <f t="shared" si="68"/>
        <v>46191355.596183516</v>
      </c>
      <c r="G178" s="13">
        <f t="shared" si="68"/>
        <v>48377000</v>
      </c>
      <c r="H178" s="13"/>
      <c r="I178" s="13"/>
    </row>
    <row r="179" spans="1:10" x14ac:dyDescent="0.25">
      <c r="A179">
        <f t="shared" si="67"/>
        <v>1972</v>
      </c>
      <c r="B179" s="13">
        <f>B14+B32*B41/B80</f>
        <v>7819355.0275605051</v>
      </c>
      <c r="C179" s="13">
        <f>C14+C32*C41/C80</f>
        <v>33794109.51576075</v>
      </c>
      <c r="D179" s="13">
        <f>D14+D32*D41/D80</f>
        <v>51361060.726793669</v>
      </c>
      <c r="E179" s="13">
        <f>E14+E32*E41/E80</f>
        <v>64559285.654721923</v>
      </c>
      <c r="F179" s="13">
        <f>F14+F32*F41/F80</f>
        <v>61163000</v>
      </c>
      <c r="G179" s="13"/>
      <c r="H179" s="13"/>
      <c r="I179" s="13"/>
    </row>
    <row r="180" spans="1:10" x14ac:dyDescent="0.25">
      <c r="A180">
        <f t="shared" si="67"/>
        <v>1973</v>
      </c>
      <c r="B180" s="13">
        <f>B15+B33*B42/B81</f>
        <v>9533246.4146535993</v>
      </c>
      <c r="C180" s="13">
        <f>C15+C33*C42/C81</f>
        <v>34585430.755321778</v>
      </c>
      <c r="D180" s="13">
        <f>D15+D33*D42/D81</f>
        <v>49667341.655991018</v>
      </c>
      <c r="E180" s="13">
        <f>E15+E33*E42/E81</f>
        <v>73733000</v>
      </c>
      <c r="F180" s="13"/>
      <c r="G180" s="13"/>
      <c r="H180" s="13"/>
      <c r="I180" s="13"/>
    </row>
    <row r="181" spans="1:10" x14ac:dyDescent="0.25">
      <c r="A181">
        <f t="shared" si="67"/>
        <v>1974</v>
      </c>
      <c r="B181" s="13">
        <f>B16+B34*B43/B82</f>
        <v>10348458.389970349</v>
      </c>
      <c r="C181" s="13">
        <f>C16+C34*C43/C82</f>
        <v>41241242.674858227</v>
      </c>
      <c r="D181" s="13">
        <f>D16+D34*D43/D82</f>
        <v>63477000.000000007</v>
      </c>
      <c r="E181" s="13"/>
      <c r="F181" s="13"/>
      <c r="G181" s="13"/>
      <c r="H181" s="13"/>
      <c r="I181" s="13"/>
    </row>
    <row r="182" spans="1:10" x14ac:dyDescent="0.25">
      <c r="A182">
        <f t="shared" si="67"/>
        <v>1975</v>
      </c>
      <c r="B182" s="13">
        <f>B17+B35*B44/B83</f>
        <v>13102479.278755274</v>
      </c>
      <c r="C182" s="13">
        <f>C17+C35*C44/C83</f>
        <v>48904000</v>
      </c>
      <c r="D182" s="13"/>
      <c r="E182" s="13"/>
      <c r="F182" s="13"/>
      <c r="G182" s="13"/>
      <c r="H182" s="13"/>
      <c r="I182" s="13"/>
      <c r="J182">
        <f>B17+B35*B44/B83</f>
        <v>13102479.278755274</v>
      </c>
    </row>
    <row r="183" spans="1:10" x14ac:dyDescent="0.25">
      <c r="A183">
        <f t="shared" si="67"/>
        <v>1976</v>
      </c>
      <c r="B183" s="13">
        <f>B18+B36*B45/B84</f>
        <v>15791000</v>
      </c>
      <c r="C183" s="13"/>
      <c r="D183" s="13"/>
      <c r="E183" s="13"/>
      <c r="F183" s="13"/>
      <c r="G183" s="13"/>
      <c r="H183" s="13"/>
      <c r="I183" s="13"/>
    </row>
    <row r="185" spans="1:10" x14ac:dyDescent="0.25">
      <c r="A185">
        <v>1969</v>
      </c>
      <c r="B185" s="3">
        <f>C176/B176</f>
        <v>3.185694131756021</v>
      </c>
      <c r="C185" s="3">
        <f t="shared" ref="C185:H185" si="69">D176/C176</f>
        <v>1.5361116354855366</v>
      </c>
      <c r="D185" s="3">
        <f t="shared" si="69"/>
        <v>1.3964967811049966</v>
      </c>
      <c r="E185" s="3">
        <f t="shared" si="69"/>
        <v>0.9071161040209953</v>
      </c>
      <c r="F185" s="3">
        <f t="shared" si="69"/>
        <v>1.0622069263540928</v>
      </c>
      <c r="G185" s="3">
        <f t="shared" si="69"/>
        <v>0.96147278869214414</v>
      </c>
      <c r="H185" s="3">
        <f t="shared" si="69"/>
        <v>0.97872893662490779</v>
      </c>
    </row>
    <row r="186" spans="1:10" x14ac:dyDescent="0.25">
      <c r="A186">
        <f>A185+1</f>
        <v>1970</v>
      </c>
      <c r="B186" s="3">
        <f t="shared" ref="B186:C191" si="70">C177/B177</f>
        <v>4.209699326254154</v>
      </c>
      <c r="C186" s="3">
        <f t="shared" ref="C186:G186" si="71">D177/C177</f>
        <v>1.5549727577954815</v>
      </c>
      <c r="D186" s="3">
        <f t="shared" si="71"/>
        <v>1.3474897190090902</v>
      </c>
      <c r="E186" s="3">
        <f t="shared" si="71"/>
        <v>0.92620815823270763</v>
      </c>
      <c r="F186" s="3">
        <f t="shared" si="71"/>
        <v>1.0859506471689577</v>
      </c>
      <c r="G186" s="3">
        <f t="shared" si="71"/>
        <v>0.96562844357266153</v>
      </c>
      <c r="H186" s="3"/>
    </row>
    <row r="187" spans="1:10" x14ac:dyDescent="0.25">
      <c r="A187">
        <f t="shared" ref="A187:A192" si="72">A186+1</f>
        <v>1971</v>
      </c>
      <c r="B187" s="3">
        <f t="shared" si="70"/>
        <v>4.2766702134700534</v>
      </c>
      <c r="C187" s="3">
        <f t="shared" ref="C187:F187" si="73">D178/C178</f>
        <v>1.6176163862649999</v>
      </c>
      <c r="D187" s="3">
        <f t="shared" si="73"/>
        <v>1.2159853859598426</v>
      </c>
      <c r="E187" s="3">
        <f t="shared" si="73"/>
        <v>0.91789125785368164</v>
      </c>
      <c r="F187" s="3">
        <f t="shared" si="73"/>
        <v>1.047317173865256</v>
      </c>
      <c r="G187" s="3"/>
      <c r="H187" s="3"/>
    </row>
    <row r="188" spans="1:10" x14ac:dyDescent="0.25">
      <c r="A188">
        <f t="shared" si="72"/>
        <v>1972</v>
      </c>
      <c r="B188" s="3">
        <f t="shared" si="70"/>
        <v>4.3218538353416971</v>
      </c>
      <c r="C188" s="3">
        <f t="shared" ref="C188:E188" si="74">D179/C179</f>
        <v>1.5198228763163628</v>
      </c>
      <c r="D188" s="3">
        <f t="shared" si="74"/>
        <v>1.2569694772881335</v>
      </c>
      <c r="E188" s="3">
        <f t="shared" si="74"/>
        <v>0.94739276278727669</v>
      </c>
      <c r="F188" s="3"/>
      <c r="G188" s="3"/>
      <c r="H188" s="3"/>
    </row>
    <row r="189" spans="1:10" x14ac:dyDescent="0.25">
      <c r="A189">
        <f t="shared" si="72"/>
        <v>1973</v>
      </c>
      <c r="B189" s="3">
        <f t="shared" si="70"/>
        <v>3.6278754635105566</v>
      </c>
      <c r="C189" s="3">
        <f t="shared" ref="C189:D189" si="75">D180/C180</f>
        <v>1.4360770003811081</v>
      </c>
      <c r="D189" s="3">
        <f t="shared" si="75"/>
        <v>1.4845368715461764</v>
      </c>
      <c r="E189" s="3"/>
      <c r="F189" s="3"/>
      <c r="G189" s="3"/>
      <c r="H189" s="3"/>
    </row>
    <row r="190" spans="1:10" x14ac:dyDescent="0.25">
      <c r="A190">
        <f t="shared" si="72"/>
        <v>1974</v>
      </c>
      <c r="B190" s="3">
        <f t="shared" si="70"/>
        <v>3.9852547230444433</v>
      </c>
      <c r="C190" s="3">
        <f t="shared" si="70"/>
        <v>1.5391631261076741</v>
      </c>
      <c r="D190" s="3"/>
      <c r="E190" s="3"/>
      <c r="F190" s="3"/>
      <c r="G190" s="3"/>
      <c r="H190" s="3"/>
    </row>
    <row r="191" spans="1:10" x14ac:dyDescent="0.25">
      <c r="A191">
        <f t="shared" si="72"/>
        <v>1975</v>
      </c>
      <c r="B191" s="3">
        <f t="shared" si="70"/>
        <v>3.7324233803059177</v>
      </c>
      <c r="C191" s="3"/>
      <c r="D191" s="3"/>
      <c r="E191" s="3"/>
      <c r="F191" s="3"/>
      <c r="G191" s="3"/>
      <c r="H191" s="3"/>
    </row>
    <row r="192" spans="1:10" x14ac:dyDescent="0.25">
      <c r="A192">
        <f t="shared" si="72"/>
        <v>1976</v>
      </c>
      <c r="B192" s="3"/>
      <c r="C192" s="3"/>
      <c r="D192" s="3"/>
      <c r="E192" s="3"/>
      <c r="F192" s="3"/>
      <c r="G192" s="3"/>
      <c r="H192" s="3"/>
    </row>
    <row r="194" spans="1:9" x14ac:dyDescent="0.25">
      <c r="B194" s="3">
        <f>AVERAGE(B185:B192)</f>
        <v>3.9056387248118347</v>
      </c>
      <c r="C194" s="3">
        <f t="shared" ref="C194:H194" si="76">AVERAGE(C185:C192)</f>
        <v>1.5339606303918603</v>
      </c>
      <c r="D194" s="3">
        <f t="shared" si="76"/>
        <v>1.3402956469816476</v>
      </c>
      <c r="E194" s="3">
        <f t="shared" si="76"/>
        <v>0.92465207072366529</v>
      </c>
      <c r="F194" s="3">
        <f t="shared" si="76"/>
        <v>1.0651582491294356</v>
      </c>
      <c r="G194" s="3">
        <f t="shared" si="76"/>
        <v>0.96355061613240278</v>
      </c>
      <c r="H194" s="3">
        <f t="shared" si="76"/>
        <v>0.97872893662490779</v>
      </c>
      <c r="I194" s="3">
        <v>1</v>
      </c>
    </row>
    <row r="195" spans="1:9" x14ac:dyDescent="0.25">
      <c r="B195" s="3">
        <f t="shared" ref="B195:G195" si="77">B194*C195</f>
        <v>7.4582396224537062</v>
      </c>
      <c r="C195" s="3">
        <f t="shared" si="77"/>
        <v>1.9096081711482489</v>
      </c>
      <c r="D195" s="3">
        <f t="shared" si="77"/>
        <v>1.244887341509167</v>
      </c>
      <c r="E195" s="3">
        <f t="shared" si="77"/>
        <v>0.92881547762440286</v>
      </c>
      <c r="F195" s="3">
        <f t="shared" si="77"/>
        <v>1.004502674067965</v>
      </c>
      <c r="G195" s="3">
        <f t="shared" si="77"/>
        <v>0.9430548699115413</v>
      </c>
      <c r="H195" s="3">
        <f>H194*I195</f>
        <v>0.97872893662490779</v>
      </c>
      <c r="I195" s="3">
        <f>I194</f>
        <v>1</v>
      </c>
    </row>
    <row r="197" spans="1:9" x14ac:dyDescent="0.25">
      <c r="A197" t="s">
        <v>14</v>
      </c>
    </row>
    <row r="198" spans="1:9" x14ac:dyDescent="0.25">
      <c r="A198">
        <v>1969</v>
      </c>
      <c r="B198" s="13">
        <f t="shared" ref="B198:I198" si="78">+B11+B29*B$46/B58</f>
        <v>3793503.650589583</v>
      </c>
      <c r="C198" s="13">
        <f t="shared" si="78"/>
        <v>12084942.318478277</v>
      </c>
      <c r="D198" s="13">
        <f t="shared" si="78"/>
        <v>18563820.50958604</v>
      </c>
      <c r="E198" s="13">
        <f t="shared" si="78"/>
        <v>25924315.586647827</v>
      </c>
      <c r="F198" s="13">
        <f t="shared" si="78"/>
        <v>23516364.154370733</v>
      </c>
      <c r="G198" s="13">
        <f t="shared" si="78"/>
        <v>24979244.887437705</v>
      </c>
      <c r="H198" s="13">
        <f t="shared" si="78"/>
        <v>24016864.241348714</v>
      </c>
      <c r="I198" s="13">
        <f t="shared" si="78"/>
        <v>23506000</v>
      </c>
    </row>
    <row r="199" spans="1:9" x14ac:dyDescent="0.25">
      <c r="A199">
        <f>A198+1</f>
        <v>1970</v>
      </c>
      <c r="B199" s="13">
        <f t="shared" ref="B199:H199" si="79">+B12+B30*B$46/B59</f>
        <v>3760482.3375133411</v>
      </c>
      <c r="C199" s="13">
        <f t="shared" si="79"/>
        <v>15830499.962620556</v>
      </c>
      <c r="D199" s="13">
        <f t="shared" si="79"/>
        <v>24615996.184157353</v>
      </c>
      <c r="E199" s="13">
        <f t="shared" si="79"/>
        <v>33169801.781319026</v>
      </c>
      <c r="F199" s="13">
        <f t="shared" si="79"/>
        <v>30722141.016819481</v>
      </c>
      <c r="G199" s="13">
        <f t="shared" si="79"/>
        <v>33362728.919631094</v>
      </c>
      <c r="H199" s="13">
        <f t="shared" si="79"/>
        <v>32216000</v>
      </c>
      <c r="I199" s="13"/>
    </row>
    <row r="200" spans="1:9" x14ac:dyDescent="0.25">
      <c r="A200">
        <f t="shared" ref="A200:A205" si="80">A199+1</f>
        <v>1971</v>
      </c>
      <c r="B200" s="13">
        <f t="shared" ref="B200:G200" si="81">+B13+B31*B$46/B60</f>
        <v>5982184.7214957885</v>
      </c>
      <c r="C200" s="13">
        <f t="shared" si="81"/>
        <v>25583831.209896687</v>
      </c>
      <c r="D200" s="13">
        <f t="shared" si="81"/>
        <v>41384824.588566795</v>
      </c>
      <c r="E200" s="13">
        <f t="shared" si="81"/>
        <v>50323341.900208786</v>
      </c>
      <c r="F200" s="13">
        <f t="shared" si="81"/>
        <v>46191355.596183516</v>
      </c>
      <c r="G200" s="13">
        <f t="shared" si="81"/>
        <v>48377000</v>
      </c>
      <c r="H200" s="13"/>
      <c r="I200" s="13"/>
    </row>
    <row r="201" spans="1:9" x14ac:dyDescent="0.25">
      <c r="A201">
        <f t="shared" si="80"/>
        <v>1972</v>
      </c>
      <c r="B201" s="13">
        <f>+B14+B32*B$46/B61</f>
        <v>7819355.0275605051</v>
      </c>
      <c r="C201" s="13">
        <f>+C14+C32*C$46/C61</f>
        <v>33794109.51576075</v>
      </c>
      <c r="D201" s="13">
        <f>+D14+D32*D$46/D61</f>
        <v>51361060.726793662</v>
      </c>
      <c r="E201" s="13">
        <f>+E14+E32*E$46/E61</f>
        <v>64559285.654721923</v>
      </c>
      <c r="F201" s="13">
        <f>+F14+F32*F$46/F61</f>
        <v>61163000</v>
      </c>
      <c r="G201" s="13"/>
      <c r="H201" s="13"/>
      <c r="I201" s="13"/>
    </row>
    <row r="202" spans="1:9" x14ac:dyDescent="0.25">
      <c r="A202">
        <f t="shared" si="80"/>
        <v>1973</v>
      </c>
      <c r="B202" s="13">
        <f>+B15+B33*B$46/B62</f>
        <v>9533246.4146535993</v>
      </c>
      <c r="C202" s="13">
        <f>+C15+C33*C$46/C62</f>
        <v>34585430.755321778</v>
      </c>
      <c r="D202" s="13">
        <f>+D15+D33*D$46/D62</f>
        <v>49667341.655991018</v>
      </c>
      <c r="E202" s="13">
        <f>+E15+E33*E$46/E62</f>
        <v>73733000</v>
      </c>
      <c r="F202" s="13"/>
      <c r="G202" s="13"/>
      <c r="H202" s="13"/>
      <c r="I202" s="13"/>
    </row>
    <row r="203" spans="1:9" x14ac:dyDescent="0.25">
      <c r="A203">
        <f t="shared" si="80"/>
        <v>1974</v>
      </c>
      <c r="B203" s="13">
        <f>+B16+B34*B$46/B63</f>
        <v>10348458.389970351</v>
      </c>
      <c r="C203" s="13">
        <f>+C16+C34*C$46/C63</f>
        <v>41241242.674858227</v>
      </c>
      <c r="D203" s="13">
        <f>+D16+D34*D$46/D63</f>
        <v>63477000.000000007</v>
      </c>
      <c r="E203" s="13"/>
      <c r="F203" s="13"/>
      <c r="G203" s="13"/>
      <c r="H203" s="13"/>
      <c r="I203" s="13"/>
    </row>
    <row r="204" spans="1:9" x14ac:dyDescent="0.25">
      <c r="A204">
        <f t="shared" si="80"/>
        <v>1975</v>
      </c>
      <c r="B204" s="13">
        <f>+B17+B35*B$46/B64</f>
        <v>13102479.278755274</v>
      </c>
      <c r="C204" s="13">
        <f>+C17+C35*C$46/C64</f>
        <v>48904000</v>
      </c>
      <c r="D204" s="13"/>
      <c r="E204" s="13"/>
      <c r="F204" s="13"/>
      <c r="G204" s="13"/>
      <c r="H204" s="13"/>
      <c r="I204" s="13"/>
    </row>
    <row r="205" spans="1:9" x14ac:dyDescent="0.25">
      <c r="A205">
        <f t="shared" si="80"/>
        <v>1976</v>
      </c>
      <c r="B205" s="13">
        <f>+B18+B36*B$46/B65</f>
        <v>15791000</v>
      </c>
      <c r="C205" s="13"/>
      <c r="D205" s="13"/>
      <c r="E205" s="13"/>
      <c r="F205" s="13"/>
      <c r="G205" s="13"/>
      <c r="H205" s="13"/>
      <c r="I205" s="13"/>
    </row>
    <row r="207" spans="1:9" x14ac:dyDescent="0.25">
      <c r="A207">
        <v>1969</v>
      </c>
      <c r="B207" s="3">
        <f>C198/B198</f>
        <v>3.185694131756021</v>
      </c>
      <c r="C207" s="3">
        <f t="shared" ref="C207:H207" si="82">D198/C198</f>
        <v>1.5361116354855366</v>
      </c>
      <c r="D207" s="3">
        <f t="shared" si="82"/>
        <v>1.3964967811049969</v>
      </c>
      <c r="E207" s="3">
        <f t="shared" si="82"/>
        <v>0.90711610402099496</v>
      </c>
      <c r="F207" s="3">
        <f t="shared" si="82"/>
        <v>1.062206926354093</v>
      </c>
      <c r="G207" s="3">
        <f t="shared" si="82"/>
        <v>0.96147278869214414</v>
      </c>
      <c r="H207" s="3">
        <f t="shared" si="82"/>
        <v>0.97872893662490779</v>
      </c>
    </row>
    <row r="208" spans="1:9" x14ac:dyDescent="0.25">
      <c r="A208">
        <f>A207+1</f>
        <v>1970</v>
      </c>
      <c r="B208" s="3">
        <f t="shared" ref="B208:G208" si="83">C199/B199</f>
        <v>4.2096993262541531</v>
      </c>
      <c r="C208" s="3">
        <f t="shared" si="83"/>
        <v>1.5549727577954815</v>
      </c>
      <c r="D208" s="3">
        <f t="shared" si="83"/>
        <v>1.3474897190090902</v>
      </c>
      <c r="E208" s="3">
        <f t="shared" si="83"/>
        <v>0.92620815823270763</v>
      </c>
      <c r="F208" s="3">
        <f t="shared" si="83"/>
        <v>1.0859506471689577</v>
      </c>
      <c r="G208" s="3">
        <f t="shared" si="83"/>
        <v>0.96562844357266164</v>
      </c>
      <c r="H208" s="3"/>
    </row>
    <row r="209" spans="1:9" x14ac:dyDescent="0.25">
      <c r="A209">
        <f t="shared" ref="A209:A214" si="84">A208+1</f>
        <v>1971</v>
      </c>
      <c r="B209" s="3">
        <f t="shared" ref="B209:F209" si="85">C200/B200</f>
        <v>4.2766702134700534</v>
      </c>
      <c r="C209" s="3">
        <f t="shared" si="85"/>
        <v>1.6176163862649997</v>
      </c>
      <c r="D209" s="3">
        <f t="shared" si="85"/>
        <v>1.2159853859598428</v>
      </c>
      <c r="E209" s="3">
        <f t="shared" si="85"/>
        <v>0.91789125785368153</v>
      </c>
      <c r="F209" s="3">
        <f t="shared" si="85"/>
        <v>1.047317173865256</v>
      </c>
      <c r="G209" s="3"/>
      <c r="H209" s="3"/>
    </row>
    <row r="210" spans="1:9" x14ac:dyDescent="0.25">
      <c r="A210">
        <f t="shared" si="84"/>
        <v>1972</v>
      </c>
      <c r="B210" s="3">
        <f t="shared" ref="B210:E210" si="86">C201/B201</f>
        <v>4.3218538353416971</v>
      </c>
      <c r="C210" s="3">
        <f t="shared" si="86"/>
        <v>1.5198228763163626</v>
      </c>
      <c r="D210" s="3">
        <f t="shared" si="86"/>
        <v>1.2569694772881337</v>
      </c>
      <c r="E210" s="3">
        <f t="shared" si="86"/>
        <v>0.94739276278727669</v>
      </c>
      <c r="F210" s="3"/>
      <c r="G210" s="3"/>
      <c r="H210" s="3"/>
    </row>
    <row r="211" spans="1:9" x14ac:dyDescent="0.25">
      <c r="A211">
        <f t="shared" si="84"/>
        <v>1973</v>
      </c>
      <c r="B211" s="3">
        <f t="shared" ref="B211:D211" si="87">C202/B202</f>
        <v>3.6278754635105566</v>
      </c>
      <c r="C211" s="3">
        <f t="shared" si="87"/>
        <v>1.4360770003811081</v>
      </c>
      <c r="D211" s="3">
        <f t="shared" si="87"/>
        <v>1.4845368715461764</v>
      </c>
      <c r="E211" s="3"/>
      <c r="F211" s="3"/>
      <c r="G211" s="3"/>
      <c r="H211" s="3"/>
    </row>
    <row r="212" spans="1:9" x14ac:dyDescent="0.25">
      <c r="A212">
        <f t="shared" si="84"/>
        <v>1974</v>
      </c>
      <c r="B212" s="3">
        <f t="shared" ref="B212:C212" si="88">C203/B203</f>
        <v>3.9852547230444424</v>
      </c>
      <c r="C212" s="3">
        <f t="shared" si="88"/>
        <v>1.5391631261076741</v>
      </c>
      <c r="D212" s="3"/>
      <c r="E212" s="3"/>
      <c r="F212" s="3"/>
      <c r="G212" s="3"/>
      <c r="H212" s="3"/>
    </row>
    <row r="213" spans="1:9" x14ac:dyDescent="0.25">
      <c r="A213">
        <f t="shared" si="84"/>
        <v>1975</v>
      </c>
      <c r="B213" s="3">
        <f t="shared" ref="B213" si="89">C204/B204</f>
        <v>3.7324233803059177</v>
      </c>
      <c r="C213" s="3"/>
      <c r="D213" s="3"/>
      <c r="E213" s="3"/>
      <c r="F213" s="3"/>
      <c r="G213" s="3"/>
      <c r="H213" s="3"/>
    </row>
    <row r="214" spans="1:9" x14ac:dyDescent="0.25">
      <c r="A214">
        <f t="shared" si="84"/>
        <v>1976</v>
      </c>
      <c r="B214" s="3"/>
      <c r="C214" s="3"/>
      <c r="D214" s="3"/>
      <c r="E214" s="3"/>
      <c r="F214" s="3"/>
      <c r="G214" s="3"/>
      <c r="H214" s="3"/>
    </row>
    <row r="216" spans="1:9" x14ac:dyDescent="0.25">
      <c r="B216" s="3">
        <f>AVERAGE(B207:B214)</f>
        <v>3.9056387248118343</v>
      </c>
      <c r="C216" s="3">
        <f t="shared" ref="C216:H216" si="90">AVERAGE(C207:C214)</f>
        <v>1.5339606303918603</v>
      </c>
      <c r="D216" s="3">
        <f t="shared" si="90"/>
        <v>1.340295646981648</v>
      </c>
      <c r="E216" s="3">
        <f t="shared" si="90"/>
        <v>0.92465207072366518</v>
      </c>
      <c r="F216" s="3">
        <f t="shared" si="90"/>
        <v>1.0651582491294356</v>
      </c>
      <c r="G216" s="3">
        <f t="shared" si="90"/>
        <v>0.96355061613240289</v>
      </c>
      <c r="H216" s="3">
        <f t="shared" si="90"/>
        <v>0.97872893662490779</v>
      </c>
      <c r="I216" s="3">
        <v>1</v>
      </c>
    </row>
    <row r="217" spans="1:9" x14ac:dyDescent="0.25">
      <c r="B217" s="3">
        <f t="shared" ref="B217" si="91">B216*C217</f>
        <v>7.4582396224537071</v>
      </c>
      <c r="C217" s="3">
        <f t="shared" ref="C217" si="92">C216*D217</f>
        <v>1.9096081711482493</v>
      </c>
      <c r="D217" s="3">
        <f t="shared" ref="D217" si="93">D216*E217</f>
        <v>1.2448873415091672</v>
      </c>
      <c r="E217" s="3">
        <f t="shared" ref="E217" si="94">E216*F217</f>
        <v>0.92881547762440275</v>
      </c>
      <c r="F217" s="3">
        <f t="shared" ref="F217" si="95">F216*G217</f>
        <v>1.004502674067965</v>
      </c>
      <c r="G217" s="3">
        <f t="shared" ref="G217" si="96">G216*H217</f>
        <v>0.94305486991154142</v>
      </c>
      <c r="H217" s="3">
        <f>H216*I217</f>
        <v>0.97872893662490779</v>
      </c>
      <c r="I217" s="3">
        <f>I216</f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5CC3-B1C0-4DA2-823B-984E220CB4AD}">
  <dimension ref="A1:U310"/>
  <sheetViews>
    <sheetView tabSelected="1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G94" sqref="G94"/>
    </sheetView>
  </sheetViews>
  <sheetFormatPr defaultRowHeight="15" x14ac:dyDescent="0.25"/>
  <cols>
    <col min="1" max="1" width="14.7109375" customWidth="1"/>
    <col min="2" max="9" width="10" customWidth="1"/>
  </cols>
  <sheetData>
    <row r="1" spans="1:21" x14ac:dyDescent="0.25">
      <c r="A1" t="s">
        <v>25</v>
      </c>
      <c r="B1">
        <v>12</v>
      </c>
      <c r="C1">
        <f>B1+12</f>
        <v>24</v>
      </c>
      <c r="D1">
        <f t="shared" ref="D1:I1" si="0">C1+12</f>
        <v>36</v>
      </c>
      <c r="E1">
        <f t="shared" si="0"/>
        <v>48</v>
      </c>
      <c r="F1">
        <f t="shared" si="0"/>
        <v>60</v>
      </c>
      <c r="G1">
        <f t="shared" si="0"/>
        <v>72</v>
      </c>
      <c r="H1">
        <f t="shared" si="0"/>
        <v>84</v>
      </c>
      <c r="I1">
        <f t="shared" si="0"/>
        <v>96</v>
      </c>
    </row>
    <row r="2" spans="1:21" x14ac:dyDescent="0.25">
      <c r="A2">
        <v>1969</v>
      </c>
      <c r="B2" s="6">
        <v>2897000</v>
      </c>
      <c r="C2" s="6">
        <v>5160000</v>
      </c>
      <c r="D2" s="6">
        <v>10714000</v>
      </c>
      <c r="E2" s="6">
        <v>15228000</v>
      </c>
      <c r="F2" s="6">
        <v>16611000</v>
      </c>
      <c r="G2" s="6">
        <v>20899000</v>
      </c>
      <c r="H2" s="6">
        <v>22892000</v>
      </c>
      <c r="I2" s="6">
        <v>23506000</v>
      </c>
      <c r="J2" t="s">
        <v>1</v>
      </c>
      <c r="L2" s="1"/>
      <c r="M2" s="1"/>
      <c r="N2" s="1"/>
      <c r="O2" s="1"/>
      <c r="P2" s="1"/>
      <c r="Q2" s="1"/>
      <c r="R2" s="1"/>
      <c r="T2" s="1"/>
      <c r="U2" s="1"/>
    </row>
    <row r="3" spans="1:21" x14ac:dyDescent="0.25">
      <c r="A3">
        <f>A2+1</f>
        <v>1970</v>
      </c>
      <c r="B3" s="6">
        <v>4828000</v>
      </c>
      <c r="C3" s="6">
        <v>10707000</v>
      </c>
      <c r="D3" s="6">
        <v>16907000</v>
      </c>
      <c r="E3" s="6">
        <v>22840000</v>
      </c>
      <c r="F3" s="6">
        <v>26211000</v>
      </c>
      <c r="G3" s="6">
        <v>31970000</v>
      </c>
      <c r="H3" s="6">
        <v>32216000</v>
      </c>
      <c r="I3" s="6" t="s">
        <v>0</v>
      </c>
      <c r="J3" t="s">
        <v>1</v>
      </c>
      <c r="L3" s="1"/>
      <c r="M3" s="1"/>
      <c r="N3" s="1"/>
      <c r="O3" s="1"/>
      <c r="P3" s="1"/>
      <c r="Q3" s="1"/>
      <c r="T3" s="1"/>
      <c r="U3" s="1"/>
    </row>
    <row r="4" spans="1:21" x14ac:dyDescent="0.25">
      <c r="A4">
        <f t="shared" ref="A4:A9" si="1">A3+1</f>
        <v>1971</v>
      </c>
      <c r="B4" s="6">
        <v>5455000</v>
      </c>
      <c r="C4" s="6">
        <v>11941000</v>
      </c>
      <c r="D4" s="6">
        <v>20733000</v>
      </c>
      <c r="E4" s="6">
        <v>30928000</v>
      </c>
      <c r="F4" s="6">
        <v>42395000</v>
      </c>
      <c r="G4" s="6">
        <v>48377000</v>
      </c>
      <c r="H4" s="6" t="s">
        <v>0</v>
      </c>
      <c r="I4" s="6" t="s">
        <v>0</v>
      </c>
      <c r="J4" t="s">
        <v>1</v>
      </c>
      <c r="L4" s="1"/>
      <c r="M4" s="1"/>
      <c r="N4" s="1"/>
      <c r="O4" s="1"/>
      <c r="P4" s="1"/>
      <c r="T4" s="1"/>
      <c r="U4" s="1"/>
    </row>
    <row r="5" spans="1:21" x14ac:dyDescent="0.25">
      <c r="A5">
        <f t="shared" si="1"/>
        <v>1972</v>
      </c>
      <c r="B5" s="6">
        <v>8732000</v>
      </c>
      <c r="C5" s="6">
        <v>18633000</v>
      </c>
      <c r="D5" s="6">
        <v>32143000</v>
      </c>
      <c r="E5" s="6">
        <v>57196000</v>
      </c>
      <c r="F5" s="6">
        <v>61163000</v>
      </c>
      <c r="G5" s="6" t="s">
        <v>0</v>
      </c>
      <c r="H5" s="6" t="s">
        <v>0</v>
      </c>
      <c r="I5" s="6" t="s">
        <v>0</v>
      </c>
      <c r="J5" t="s">
        <v>1</v>
      </c>
      <c r="L5" s="1"/>
      <c r="M5" s="1"/>
      <c r="N5" s="1"/>
      <c r="O5" s="1"/>
      <c r="T5" s="1"/>
      <c r="U5" s="1"/>
    </row>
    <row r="6" spans="1:21" x14ac:dyDescent="0.25">
      <c r="A6">
        <f t="shared" si="1"/>
        <v>1973</v>
      </c>
      <c r="B6" s="6">
        <v>11228000</v>
      </c>
      <c r="C6" s="6">
        <v>19967000</v>
      </c>
      <c r="D6" s="6">
        <v>50143000</v>
      </c>
      <c r="E6" s="6">
        <v>73733000</v>
      </c>
      <c r="F6" s="6" t="s">
        <v>0</v>
      </c>
      <c r="G6" s="6" t="s">
        <v>0</v>
      </c>
      <c r="H6" s="6" t="s">
        <v>0</v>
      </c>
      <c r="I6" s="6" t="s">
        <v>0</v>
      </c>
      <c r="J6" t="s">
        <v>1</v>
      </c>
      <c r="L6" s="1"/>
      <c r="M6" s="1"/>
      <c r="N6" s="1"/>
      <c r="T6" s="1"/>
      <c r="U6" s="1"/>
    </row>
    <row r="7" spans="1:21" x14ac:dyDescent="0.25">
      <c r="A7">
        <f t="shared" si="1"/>
        <v>1974</v>
      </c>
      <c r="B7" s="6">
        <v>8706000</v>
      </c>
      <c r="C7" s="6">
        <v>33459000</v>
      </c>
      <c r="D7" s="6">
        <v>63477000</v>
      </c>
      <c r="E7" s="6" t="s">
        <v>0</v>
      </c>
      <c r="F7" s="6" t="s">
        <v>0</v>
      </c>
      <c r="G7" s="6" t="s">
        <v>0</v>
      </c>
      <c r="H7" s="6" t="s">
        <v>0</v>
      </c>
      <c r="I7" s="6" t="s">
        <v>0</v>
      </c>
      <c r="J7" t="s">
        <v>1</v>
      </c>
      <c r="L7" s="1"/>
      <c r="M7" s="1"/>
      <c r="T7" s="1"/>
      <c r="U7" s="1"/>
    </row>
    <row r="8" spans="1:21" x14ac:dyDescent="0.25">
      <c r="A8">
        <f t="shared" si="1"/>
        <v>1975</v>
      </c>
      <c r="B8" s="6">
        <v>12928000</v>
      </c>
      <c r="C8" s="6">
        <v>48904000</v>
      </c>
      <c r="D8" s="6" t="s">
        <v>0</v>
      </c>
      <c r="E8" s="6" t="s">
        <v>0</v>
      </c>
      <c r="F8" s="6" t="s">
        <v>0</v>
      </c>
      <c r="G8" s="6" t="s">
        <v>0</v>
      </c>
      <c r="H8" s="6" t="s">
        <v>0</v>
      </c>
      <c r="I8" s="6" t="s">
        <v>0</v>
      </c>
      <c r="J8" t="s">
        <v>1</v>
      </c>
      <c r="L8" s="1"/>
      <c r="T8" s="1"/>
      <c r="U8" s="1"/>
    </row>
    <row r="9" spans="1:21" x14ac:dyDescent="0.25">
      <c r="A9">
        <f t="shared" si="1"/>
        <v>1976</v>
      </c>
      <c r="B9" s="6">
        <v>15791000</v>
      </c>
      <c r="C9" s="6" t="s">
        <v>0</v>
      </c>
      <c r="D9" s="6" t="s">
        <v>0</v>
      </c>
      <c r="E9" s="6" t="s">
        <v>0</v>
      </c>
      <c r="F9" s="6" t="s">
        <v>0</v>
      </c>
      <c r="G9" s="6" t="s">
        <v>0</v>
      </c>
      <c r="H9" s="6" t="s">
        <v>0</v>
      </c>
      <c r="I9" s="6" t="s">
        <v>0</v>
      </c>
      <c r="J9" t="s">
        <v>1</v>
      </c>
      <c r="T9" s="1"/>
    </row>
    <row r="10" spans="1:21" x14ac:dyDescent="0.25">
      <c r="B10" s="6"/>
      <c r="C10" s="6"/>
      <c r="D10" s="6"/>
      <c r="E10" s="6"/>
      <c r="F10" s="6"/>
      <c r="G10" s="6"/>
      <c r="H10" s="6"/>
      <c r="I10" s="6"/>
    </row>
    <row r="11" spans="1:21" x14ac:dyDescent="0.25">
      <c r="A11" cm="1">
        <f t="array" ref="A11:A18">$A$2:$A$9</f>
        <v>1969</v>
      </c>
      <c r="B11" s="6">
        <v>125000</v>
      </c>
      <c r="C11" s="6">
        <v>406000</v>
      </c>
      <c r="D11" s="6">
        <v>1443000</v>
      </c>
      <c r="E11" s="6">
        <v>2986000</v>
      </c>
      <c r="F11" s="6">
        <v>4467000</v>
      </c>
      <c r="G11" s="6">
        <v>8179000</v>
      </c>
      <c r="H11" s="6">
        <v>12638000</v>
      </c>
      <c r="I11" s="6">
        <v>15815000</v>
      </c>
      <c r="J11" t="s">
        <v>2</v>
      </c>
    </row>
    <row r="12" spans="1:21" x14ac:dyDescent="0.25">
      <c r="A12">
        <v>1970</v>
      </c>
      <c r="B12" s="6">
        <v>43000</v>
      </c>
      <c r="C12" s="6">
        <v>529000</v>
      </c>
      <c r="D12" s="6">
        <v>2016000</v>
      </c>
      <c r="E12" s="6">
        <v>3641000</v>
      </c>
      <c r="F12" s="6">
        <v>7523000</v>
      </c>
      <c r="G12" s="6">
        <v>14295000</v>
      </c>
      <c r="H12" s="6">
        <v>18983000</v>
      </c>
      <c r="I12" s="6" t="s">
        <v>0</v>
      </c>
      <c r="J12" t="s">
        <v>2</v>
      </c>
    </row>
    <row r="13" spans="1:21" x14ac:dyDescent="0.25">
      <c r="A13">
        <v>1971</v>
      </c>
      <c r="B13" s="6">
        <v>295000</v>
      </c>
      <c r="C13" s="6">
        <v>1147000</v>
      </c>
      <c r="D13" s="6">
        <v>2479000</v>
      </c>
      <c r="E13" s="6">
        <v>5071000</v>
      </c>
      <c r="F13" s="6">
        <v>11399000</v>
      </c>
      <c r="G13" s="6">
        <v>17707000</v>
      </c>
      <c r="H13" s="6" t="s">
        <v>0</v>
      </c>
      <c r="I13" s="6" t="s">
        <v>0</v>
      </c>
      <c r="J13" t="s">
        <v>2</v>
      </c>
    </row>
    <row r="14" spans="1:21" x14ac:dyDescent="0.25">
      <c r="A14">
        <v>1972</v>
      </c>
      <c r="B14" s="6">
        <v>50000</v>
      </c>
      <c r="C14" s="6">
        <v>786000</v>
      </c>
      <c r="D14" s="6">
        <v>3810000</v>
      </c>
      <c r="E14" s="6">
        <v>9771000</v>
      </c>
      <c r="F14" s="6">
        <v>18518000</v>
      </c>
      <c r="G14" s="6" t="s">
        <v>0</v>
      </c>
      <c r="H14" s="6" t="s">
        <v>0</v>
      </c>
      <c r="I14" s="6" t="s">
        <v>0</v>
      </c>
      <c r="J14" t="s">
        <v>2</v>
      </c>
    </row>
    <row r="15" spans="1:21" x14ac:dyDescent="0.25">
      <c r="A15">
        <v>1973</v>
      </c>
      <c r="B15" s="6">
        <v>213000</v>
      </c>
      <c r="C15" s="6">
        <v>833000</v>
      </c>
      <c r="D15" s="6">
        <v>3599000</v>
      </c>
      <c r="E15" s="6">
        <v>11292000</v>
      </c>
      <c r="F15" s="6" t="s">
        <v>0</v>
      </c>
      <c r="G15" s="6" t="s">
        <v>0</v>
      </c>
      <c r="H15" s="6" t="s">
        <v>0</v>
      </c>
      <c r="I15" s="6" t="s">
        <v>0</v>
      </c>
      <c r="J15" t="s">
        <v>2</v>
      </c>
    </row>
    <row r="16" spans="1:21" x14ac:dyDescent="0.25">
      <c r="A16">
        <v>1974</v>
      </c>
      <c r="B16" s="6">
        <v>172000</v>
      </c>
      <c r="C16" s="6">
        <v>1587000</v>
      </c>
      <c r="D16" s="6">
        <v>6267000</v>
      </c>
      <c r="E16" s="6" t="s">
        <v>0</v>
      </c>
      <c r="F16" s="6" t="s">
        <v>0</v>
      </c>
      <c r="G16" s="6" t="s">
        <v>0</v>
      </c>
      <c r="H16" s="6" t="s">
        <v>0</v>
      </c>
      <c r="I16" s="6" t="s">
        <v>0</v>
      </c>
      <c r="J16" t="s">
        <v>2</v>
      </c>
    </row>
    <row r="17" spans="1:10" x14ac:dyDescent="0.25">
      <c r="A17">
        <v>1975</v>
      </c>
      <c r="B17" s="6">
        <v>210000</v>
      </c>
      <c r="C17" s="6">
        <v>1565000</v>
      </c>
      <c r="D17" s="6" t="s">
        <v>0</v>
      </c>
      <c r="E17" s="6" t="s">
        <v>0</v>
      </c>
      <c r="F17" s="6" t="s">
        <v>0</v>
      </c>
      <c r="G17" s="6" t="s">
        <v>0</v>
      </c>
      <c r="H17" s="6" t="s">
        <v>0</v>
      </c>
      <c r="I17" s="6" t="s">
        <v>0</v>
      </c>
      <c r="J17" t="s">
        <v>2</v>
      </c>
    </row>
    <row r="18" spans="1:10" x14ac:dyDescent="0.25">
      <c r="A18">
        <v>1976</v>
      </c>
      <c r="B18" s="6">
        <v>209000</v>
      </c>
      <c r="C18" s="6" t="s">
        <v>0</v>
      </c>
      <c r="D18" s="6" t="s">
        <v>0</v>
      </c>
      <c r="E18" s="6" t="s">
        <v>0</v>
      </c>
      <c r="F18" s="6" t="s">
        <v>0</v>
      </c>
      <c r="G18" s="6" t="s">
        <v>0</v>
      </c>
      <c r="H18" s="6" t="s">
        <v>0</v>
      </c>
      <c r="I18" s="6" t="s">
        <v>0</v>
      </c>
      <c r="J18" t="s">
        <v>2</v>
      </c>
    </row>
    <row r="19" spans="1:10" x14ac:dyDescent="0.25">
      <c r="B19" s="6"/>
      <c r="C19" s="6"/>
      <c r="D19" s="6"/>
      <c r="E19" s="6"/>
      <c r="F19" s="6"/>
      <c r="G19" s="6"/>
      <c r="H19" s="6"/>
      <c r="I19" s="6"/>
    </row>
    <row r="20" spans="1:10" x14ac:dyDescent="0.25">
      <c r="A20" cm="1">
        <f t="array" ref="A20:A27">$A$2:$A$9</f>
        <v>1969</v>
      </c>
      <c r="B20" s="6">
        <v>2772000</v>
      </c>
      <c r="C20" s="6">
        <v>4754000</v>
      </c>
      <c r="D20" s="6">
        <v>9271000</v>
      </c>
      <c r="E20" s="6">
        <v>12242000</v>
      </c>
      <c r="F20" s="6">
        <v>12144000</v>
      </c>
      <c r="G20" s="6">
        <v>12720000</v>
      </c>
      <c r="H20" s="6">
        <v>10254000</v>
      </c>
      <c r="I20" s="6">
        <v>7691000</v>
      </c>
      <c r="J20" t="s">
        <v>3</v>
      </c>
    </row>
    <row r="21" spans="1:10" x14ac:dyDescent="0.25">
      <c r="A21">
        <v>1970</v>
      </c>
      <c r="B21" s="6">
        <v>4785000</v>
      </c>
      <c r="C21" s="6">
        <v>10178000</v>
      </c>
      <c r="D21" s="6">
        <v>14891000</v>
      </c>
      <c r="E21" s="6">
        <v>19199000</v>
      </c>
      <c r="F21" s="6">
        <v>18688000</v>
      </c>
      <c r="G21" s="6">
        <v>17675000</v>
      </c>
      <c r="H21" s="6">
        <v>13233000</v>
      </c>
      <c r="I21" s="6" t="s">
        <v>0</v>
      </c>
      <c r="J21" t="s">
        <v>3</v>
      </c>
    </row>
    <row r="22" spans="1:10" x14ac:dyDescent="0.25">
      <c r="A22">
        <v>1971</v>
      </c>
      <c r="B22" s="6">
        <v>5160000</v>
      </c>
      <c r="C22" s="6">
        <v>10794000</v>
      </c>
      <c r="D22" s="6">
        <v>18254000</v>
      </c>
      <c r="E22" s="6">
        <v>25857000</v>
      </c>
      <c r="F22" s="6">
        <v>30996000</v>
      </c>
      <c r="G22" s="6">
        <v>30670000</v>
      </c>
      <c r="H22" s="6" t="s">
        <v>0</v>
      </c>
      <c r="I22" s="6" t="s">
        <v>0</v>
      </c>
      <c r="J22" t="s">
        <v>3</v>
      </c>
    </row>
    <row r="23" spans="1:10" x14ac:dyDescent="0.25">
      <c r="A23">
        <v>1972</v>
      </c>
      <c r="B23" s="6">
        <v>8682000</v>
      </c>
      <c r="C23" s="6">
        <v>17847000</v>
      </c>
      <c r="D23" s="6">
        <v>28333000</v>
      </c>
      <c r="E23" s="6">
        <v>47425000</v>
      </c>
      <c r="F23" s="6">
        <v>42645000</v>
      </c>
      <c r="G23" s="6" t="s">
        <v>0</v>
      </c>
      <c r="H23" s="6" t="s">
        <v>0</v>
      </c>
      <c r="I23" s="6" t="s">
        <v>0</v>
      </c>
      <c r="J23" t="s">
        <v>3</v>
      </c>
    </row>
    <row r="24" spans="1:10" x14ac:dyDescent="0.25">
      <c r="A24">
        <v>1973</v>
      </c>
      <c r="B24" s="6">
        <v>11015000</v>
      </c>
      <c r="C24" s="6">
        <v>19134000</v>
      </c>
      <c r="D24" s="6">
        <v>46544000</v>
      </c>
      <c r="E24" s="6">
        <v>62441000</v>
      </c>
      <c r="F24" s="6" t="s">
        <v>0</v>
      </c>
      <c r="G24" s="6" t="s">
        <v>0</v>
      </c>
      <c r="H24" s="6" t="s">
        <v>0</v>
      </c>
      <c r="I24" s="6" t="s">
        <v>0</v>
      </c>
      <c r="J24" t="s">
        <v>3</v>
      </c>
    </row>
    <row r="25" spans="1:10" x14ac:dyDescent="0.25">
      <c r="A25">
        <v>1974</v>
      </c>
      <c r="B25" s="6">
        <v>8534000</v>
      </c>
      <c r="C25" s="6">
        <v>31872000</v>
      </c>
      <c r="D25" s="6">
        <v>57210000</v>
      </c>
      <c r="E25" s="6" t="s">
        <v>0</v>
      </c>
      <c r="F25" s="6" t="s">
        <v>0</v>
      </c>
      <c r="G25" s="6" t="s">
        <v>0</v>
      </c>
      <c r="H25" s="6" t="s">
        <v>0</v>
      </c>
      <c r="I25" s="6" t="s">
        <v>0</v>
      </c>
      <c r="J25" t="s">
        <v>3</v>
      </c>
    </row>
    <row r="26" spans="1:10" x14ac:dyDescent="0.25">
      <c r="A26">
        <v>1975</v>
      </c>
      <c r="B26" s="6">
        <v>12718000</v>
      </c>
      <c r="C26" s="6">
        <v>47339000</v>
      </c>
      <c r="D26" s="6" t="s">
        <v>0</v>
      </c>
      <c r="E26" s="6" t="s">
        <v>0</v>
      </c>
      <c r="F26" s="6" t="s">
        <v>0</v>
      </c>
      <c r="G26" s="6" t="s">
        <v>0</v>
      </c>
      <c r="H26" s="6" t="s">
        <v>0</v>
      </c>
      <c r="I26" s="6" t="s">
        <v>0</v>
      </c>
      <c r="J26" t="s">
        <v>3</v>
      </c>
    </row>
    <row r="27" spans="1:10" x14ac:dyDescent="0.25">
      <c r="A27">
        <v>1976</v>
      </c>
      <c r="B27" s="6">
        <v>15582000</v>
      </c>
      <c r="C27" s="6" t="s">
        <v>0</v>
      </c>
      <c r="D27" s="6" t="s">
        <v>0</v>
      </c>
      <c r="E27" s="6" t="s">
        <v>0</v>
      </c>
      <c r="F27" s="6" t="s">
        <v>0</v>
      </c>
      <c r="G27" s="6" t="s">
        <v>0</v>
      </c>
      <c r="H27" s="6" t="s">
        <v>0</v>
      </c>
      <c r="I27" s="6" t="s">
        <v>0</v>
      </c>
      <c r="J27" t="s">
        <v>3</v>
      </c>
    </row>
    <row r="28" spans="1:10" x14ac:dyDescent="0.25">
      <c r="B28" s="6"/>
      <c r="C28" s="6"/>
      <c r="D28" s="6"/>
      <c r="E28" s="6"/>
      <c r="F28" s="6"/>
      <c r="G28" s="6"/>
      <c r="H28" s="6"/>
      <c r="I28" s="6"/>
    </row>
    <row r="29" spans="1:10" x14ac:dyDescent="0.25">
      <c r="A29" cm="1">
        <f t="array" ref="A29:A36">$A$2:$A$9</f>
        <v>1969</v>
      </c>
      <c r="B29" s="6">
        <v>749</v>
      </c>
      <c r="C29" s="6">
        <v>840</v>
      </c>
      <c r="D29" s="6">
        <v>1001</v>
      </c>
      <c r="E29" s="6">
        <v>1206</v>
      </c>
      <c r="F29" s="6">
        <v>1034</v>
      </c>
      <c r="G29" s="6">
        <v>765</v>
      </c>
      <c r="H29" s="6">
        <v>533</v>
      </c>
      <c r="I29" s="6">
        <v>359</v>
      </c>
      <c r="J29" t="s">
        <v>4</v>
      </c>
    </row>
    <row r="30" spans="1:10" x14ac:dyDescent="0.25">
      <c r="A30">
        <v>1970</v>
      </c>
      <c r="B30" s="6">
        <v>660</v>
      </c>
      <c r="C30" s="6">
        <v>957</v>
      </c>
      <c r="D30" s="6">
        <v>1149</v>
      </c>
      <c r="E30" s="6">
        <v>1350</v>
      </c>
      <c r="F30" s="6">
        <v>1095</v>
      </c>
      <c r="G30" s="6">
        <v>755</v>
      </c>
      <c r="H30" s="6">
        <v>539</v>
      </c>
      <c r="I30" s="6" t="s">
        <v>0</v>
      </c>
      <c r="J30" t="s">
        <v>4</v>
      </c>
    </row>
    <row r="31" spans="1:10" x14ac:dyDescent="0.25">
      <c r="A31">
        <v>1971</v>
      </c>
      <c r="B31" s="6">
        <v>878</v>
      </c>
      <c r="C31" s="6">
        <v>1329</v>
      </c>
      <c r="D31" s="6">
        <v>1720</v>
      </c>
      <c r="E31" s="6">
        <v>1799</v>
      </c>
      <c r="F31" s="6">
        <v>1428</v>
      </c>
      <c r="G31" s="6">
        <v>1056</v>
      </c>
      <c r="H31" s="6" t="s">
        <v>0</v>
      </c>
      <c r="I31" s="6" t="s">
        <v>0</v>
      </c>
      <c r="J31" t="s">
        <v>4</v>
      </c>
    </row>
    <row r="32" spans="1:10" x14ac:dyDescent="0.25">
      <c r="A32">
        <v>1972</v>
      </c>
      <c r="B32" s="6">
        <v>1043</v>
      </c>
      <c r="C32" s="6">
        <v>1561</v>
      </c>
      <c r="D32" s="6">
        <v>1828</v>
      </c>
      <c r="E32" s="6">
        <v>1894</v>
      </c>
      <c r="F32" s="6">
        <v>1522</v>
      </c>
      <c r="G32" s="6" t="s">
        <v>0</v>
      </c>
      <c r="H32" s="6" t="s">
        <v>0</v>
      </c>
      <c r="I32" s="6" t="s">
        <v>0</v>
      </c>
      <c r="J32" t="s">
        <v>4</v>
      </c>
    </row>
    <row r="33" spans="1:10" x14ac:dyDescent="0.25">
      <c r="A33">
        <v>1973</v>
      </c>
      <c r="B33" s="6">
        <v>1088</v>
      </c>
      <c r="C33" s="6">
        <v>1388</v>
      </c>
      <c r="D33" s="6">
        <v>1540</v>
      </c>
      <c r="E33" s="6">
        <v>1877</v>
      </c>
      <c r="F33" s="6" t="s">
        <v>0</v>
      </c>
      <c r="G33" s="6" t="s">
        <v>0</v>
      </c>
      <c r="H33" s="6" t="s">
        <v>0</v>
      </c>
      <c r="I33" s="6" t="s">
        <v>0</v>
      </c>
      <c r="J33" t="s">
        <v>4</v>
      </c>
    </row>
    <row r="34" spans="1:10" x14ac:dyDescent="0.25">
      <c r="A34">
        <v>1974</v>
      </c>
      <c r="B34" s="6">
        <v>1033</v>
      </c>
      <c r="C34" s="6">
        <v>1418</v>
      </c>
      <c r="D34" s="6">
        <v>1663</v>
      </c>
      <c r="E34" s="6" t="s">
        <v>0</v>
      </c>
      <c r="F34" s="6" t="s">
        <v>0</v>
      </c>
      <c r="G34" s="6" t="s">
        <v>0</v>
      </c>
      <c r="H34" s="6" t="s">
        <v>0</v>
      </c>
      <c r="I34" s="6" t="s">
        <v>0</v>
      </c>
      <c r="J34" t="s">
        <v>4</v>
      </c>
    </row>
    <row r="35" spans="1:10" x14ac:dyDescent="0.25">
      <c r="A35">
        <v>1975</v>
      </c>
      <c r="B35" s="6">
        <v>1138</v>
      </c>
      <c r="C35" s="6">
        <v>1472</v>
      </c>
      <c r="D35" s="6" t="s">
        <v>0</v>
      </c>
      <c r="E35" s="6" t="s">
        <v>0</v>
      </c>
      <c r="F35" s="6" t="s">
        <v>0</v>
      </c>
      <c r="G35" s="6" t="s">
        <v>0</v>
      </c>
      <c r="H35" s="6" t="s">
        <v>0</v>
      </c>
      <c r="I35" s="6" t="s">
        <v>0</v>
      </c>
      <c r="J35" t="s">
        <v>4</v>
      </c>
    </row>
    <row r="36" spans="1:10" x14ac:dyDescent="0.25">
      <c r="A36">
        <v>1976</v>
      </c>
      <c r="B36" s="6">
        <v>1196</v>
      </c>
      <c r="C36" s="6" t="s">
        <v>0</v>
      </c>
      <c r="D36" s="6" t="s">
        <v>0</v>
      </c>
      <c r="E36" s="6" t="s">
        <v>0</v>
      </c>
      <c r="F36" s="6" t="s">
        <v>0</v>
      </c>
      <c r="G36" s="6" t="s">
        <v>0</v>
      </c>
      <c r="H36" s="6" t="s">
        <v>0</v>
      </c>
      <c r="I36" s="6" t="s">
        <v>0</v>
      </c>
      <c r="J36" t="s">
        <v>4</v>
      </c>
    </row>
    <row r="37" spans="1:10" x14ac:dyDescent="0.25">
      <c r="B37" s="6"/>
      <c r="C37" s="6"/>
      <c r="D37" s="6"/>
      <c r="E37" s="6"/>
      <c r="F37" s="6"/>
      <c r="G37" s="6"/>
      <c r="H37" s="6"/>
      <c r="I37" s="6"/>
    </row>
    <row r="38" spans="1:10" x14ac:dyDescent="0.25">
      <c r="A38" cm="1">
        <f t="array" ref="A38:A45">$A$2:$A$9</f>
        <v>1969</v>
      </c>
      <c r="B38" s="6">
        <f>IFERROR(B20/B29,"NA")</f>
        <v>3700.9345794392525</v>
      </c>
      <c r="C38" s="6">
        <f t="shared" ref="C38:I38" si="2">IFERROR(C20/C29,"NA")</f>
        <v>5659.5238095238092</v>
      </c>
      <c r="D38" s="6">
        <f t="shared" si="2"/>
        <v>9261.7382617382609</v>
      </c>
      <c r="E38" s="6">
        <f t="shared" si="2"/>
        <v>10150.912106135987</v>
      </c>
      <c r="F38" s="6">
        <f t="shared" si="2"/>
        <v>11744.680851063829</v>
      </c>
      <c r="G38" s="6">
        <f t="shared" si="2"/>
        <v>16627.450980392157</v>
      </c>
      <c r="H38" s="6">
        <f t="shared" si="2"/>
        <v>19238.273921200751</v>
      </c>
      <c r="I38" s="6">
        <f t="shared" si="2"/>
        <v>21423.398328690808</v>
      </c>
      <c r="J38" t="s">
        <v>5</v>
      </c>
    </row>
    <row r="39" spans="1:10" x14ac:dyDescent="0.25">
      <c r="A39">
        <v>1970</v>
      </c>
      <c r="B39" s="6">
        <f t="shared" ref="B39:I45" si="3">IFERROR(B21/B30,"NA")</f>
        <v>7250</v>
      </c>
      <c r="C39" s="6">
        <f t="shared" si="3"/>
        <v>10635.318704284222</v>
      </c>
      <c r="D39" s="6">
        <f t="shared" si="3"/>
        <v>12959.965187119235</v>
      </c>
      <c r="E39" s="6">
        <f t="shared" si="3"/>
        <v>14221.481481481482</v>
      </c>
      <c r="F39" s="6">
        <f t="shared" si="3"/>
        <v>17066.666666666668</v>
      </c>
      <c r="G39" s="6">
        <f t="shared" si="3"/>
        <v>23410.596026490068</v>
      </c>
      <c r="H39" s="6">
        <f t="shared" si="3"/>
        <v>24551.020408163266</v>
      </c>
      <c r="I39" s="6" t="str">
        <f t="shared" si="3"/>
        <v>NA</v>
      </c>
      <c r="J39" t="s">
        <v>5</v>
      </c>
    </row>
    <row r="40" spans="1:10" x14ac:dyDescent="0.25">
      <c r="A40">
        <v>1971</v>
      </c>
      <c r="B40" s="6">
        <f t="shared" si="3"/>
        <v>5876.9931662870158</v>
      </c>
      <c r="C40" s="6">
        <f t="shared" si="3"/>
        <v>8121.8961625282163</v>
      </c>
      <c r="D40" s="6">
        <f t="shared" si="3"/>
        <v>10612.790697674418</v>
      </c>
      <c r="E40" s="6">
        <f t="shared" si="3"/>
        <v>14372.984991662035</v>
      </c>
      <c r="F40" s="6">
        <f t="shared" si="3"/>
        <v>21705.882352941175</v>
      </c>
      <c r="G40" s="6">
        <f t="shared" si="3"/>
        <v>29043.560606060608</v>
      </c>
      <c r="H40" s="6" t="str">
        <f t="shared" si="3"/>
        <v>NA</v>
      </c>
      <c r="I40" s="6" t="str">
        <f t="shared" si="3"/>
        <v>NA</v>
      </c>
      <c r="J40" t="s">
        <v>5</v>
      </c>
    </row>
    <row r="41" spans="1:10" x14ac:dyDescent="0.25">
      <c r="A41">
        <v>1972</v>
      </c>
      <c r="B41" s="6">
        <f t="shared" si="3"/>
        <v>8324.0651965484176</v>
      </c>
      <c r="C41" s="6">
        <f t="shared" si="3"/>
        <v>11433.055733504165</v>
      </c>
      <c r="D41" s="6">
        <f t="shared" si="3"/>
        <v>15499.45295404814</v>
      </c>
      <c r="E41" s="6">
        <f t="shared" si="3"/>
        <v>25039.59873284055</v>
      </c>
      <c r="F41" s="6">
        <f t="shared" si="3"/>
        <v>28019.05387647832</v>
      </c>
      <c r="G41" s="6" t="str">
        <f t="shared" si="3"/>
        <v>NA</v>
      </c>
      <c r="H41" s="6" t="str">
        <f t="shared" si="3"/>
        <v>NA</v>
      </c>
      <c r="I41" s="6" t="str">
        <f t="shared" si="3"/>
        <v>NA</v>
      </c>
      <c r="J41" t="s">
        <v>5</v>
      </c>
    </row>
    <row r="42" spans="1:10" x14ac:dyDescent="0.25">
      <c r="A42">
        <v>1973</v>
      </c>
      <c r="B42" s="6">
        <f t="shared" si="3"/>
        <v>10124.080882352941</v>
      </c>
      <c r="C42" s="6">
        <f t="shared" si="3"/>
        <v>13785.302593659942</v>
      </c>
      <c r="D42" s="6">
        <f t="shared" si="3"/>
        <v>30223.376623376622</v>
      </c>
      <c r="E42" s="6">
        <f t="shared" si="3"/>
        <v>33266.382525306341</v>
      </c>
      <c r="F42" s="6" t="str">
        <f t="shared" si="3"/>
        <v>NA</v>
      </c>
      <c r="G42" s="6" t="str">
        <f t="shared" si="3"/>
        <v>NA</v>
      </c>
      <c r="H42" s="6" t="str">
        <f t="shared" si="3"/>
        <v>NA</v>
      </c>
      <c r="I42" s="6" t="str">
        <f t="shared" si="3"/>
        <v>NA</v>
      </c>
      <c r="J42" t="s">
        <v>5</v>
      </c>
    </row>
    <row r="43" spans="1:10" x14ac:dyDescent="0.25">
      <c r="A43">
        <v>1974</v>
      </c>
      <c r="B43" s="6">
        <f t="shared" si="3"/>
        <v>8261.37463697967</v>
      </c>
      <c r="C43" s="6">
        <f t="shared" si="3"/>
        <v>22476.727785613541</v>
      </c>
      <c r="D43" s="6">
        <f t="shared" si="3"/>
        <v>34401.683704149131</v>
      </c>
      <c r="E43" s="6" t="str">
        <f t="shared" si="3"/>
        <v>NA</v>
      </c>
      <c r="F43" s="6" t="str">
        <f t="shared" si="3"/>
        <v>NA</v>
      </c>
      <c r="G43" s="6" t="str">
        <f t="shared" si="3"/>
        <v>NA</v>
      </c>
      <c r="H43" s="6" t="str">
        <f t="shared" si="3"/>
        <v>NA</v>
      </c>
      <c r="I43" s="6" t="str">
        <f t="shared" si="3"/>
        <v>NA</v>
      </c>
      <c r="J43" t="s">
        <v>5</v>
      </c>
    </row>
    <row r="44" spans="1:10" x14ac:dyDescent="0.25">
      <c r="A44">
        <v>1975</v>
      </c>
      <c r="B44" s="6">
        <f t="shared" si="3"/>
        <v>11175.746924428822</v>
      </c>
      <c r="C44" s="6">
        <f t="shared" si="3"/>
        <v>32159.646739130436</v>
      </c>
      <c r="D44" s="6" t="str">
        <f t="shared" si="3"/>
        <v>NA</v>
      </c>
      <c r="E44" s="6" t="str">
        <f t="shared" si="3"/>
        <v>NA</v>
      </c>
      <c r="F44" s="6" t="str">
        <f t="shared" si="3"/>
        <v>NA</v>
      </c>
      <c r="G44" s="6" t="str">
        <f t="shared" si="3"/>
        <v>NA</v>
      </c>
      <c r="H44" s="6" t="str">
        <f t="shared" si="3"/>
        <v>NA</v>
      </c>
      <c r="I44" s="6" t="str">
        <f t="shared" si="3"/>
        <v>NA</v>
      </c>
      <c r="J44" t="s">
        <v>5</v>
      </c>
    </row>
    <row r="45" spans="1:10" x14ac:dyDescent="0.25">
      <c r="A45">
        <v>1976</v>
      </c>
      <c r="B45" s="6">
        <f t="shared" si="3"/>
        <v>13028.428093645485</v>
      </c>
      <c r="C45" s="6" t="str">
        <f t="shared" si="3"/>
        <v>NA</v>
      </c>
      <c r="D45" s="6" t="str">
        <f t="shared" si="3"/>
        <v>NA</v>
      </c>
      <c r="E45" s="6" t="str">
        <f t="shared" si="3"/>
        <v>NA</v>
      </c>
      <c r="F45" s="6" t="str">
        <f t="shared" si="3"/>
        <v>NA</v>
      </c>
      <c r="G45" s="6" t="str">
        <f t="shared" si="3"/>
        <v>NA</v>
      </c>
      <c r="H45" s="6" t="str">
        <f t="shared" si="3"/>
        <v>NA</v>
      </c>
      <c r="I45" s="6" t="str">
        <f t="shared" si="3"/>
        <v>NA</v>
      </c>
      <c r="J45" t="s">
        <v>5</v>
      </c>
    </row>
    <row r="46" spans="1:10" x14ac:dyDescent="0.25">
      <c r="A46" s="8" t="s">
        <v>10</v>
      </c>
      <c r="B46" s="9" cm="1">
        <f t="array" ref="B46">INDEX(B$38:B$45,8-B$1/12+1)</f>
        <v>13028.428093645485</v>
      </c>
      <c r="C46" s="9" cm="1">
        <f t="array" ref="C46">INDEX(C$38:C$45,8-C$1/12+1)</f>
        <v>32159.646739130436</v>
      </c>
      <c r="D46" s="9" cm="1">
        <f t="array" ref="D46">INDEX(D$38:D$45,8-D$1/12+1)</f>
        <v>34401.683704149131</v>
      </c>
      <c r="E46" s="9" cm="1">
        <f t="array" ref="E46">INDEX(E$38:E$45,8-E$1/12+1)</f>
        <v>33266.382525306341</v>
      </c>
      <c r="F46" s="9" cm="1">
        <f t="array" ref="F46">INDEX(F$38:F$45,8-F$1/12+1)</f>
        <v>28019.05387647832</v>
      </c>
      <c r="G46" s="9" cm="1">
        <f t="array" ref="G46">INDEX(G$38:G$45,8-G$1/12+1)</f>
        <v>29043.560606060608</v>
      </c>
      <c r="H46" s="9" cm="1">
        <f t="array" ref="H46">INDEX(H$38:H$45,8-H$1/12+1)</f>
        <v>24551.020408163266</v>
      </c>
      <c r="I46" s="9" cm="1">
        <f t="array" ref="I46">INDEX(I$38:I$45,8-I$1/12+1)</f>
        <v>21423.398328690808</v>
      </c>
    </row>
    <row r="47" spans="1:10" x14ac:dyDescent="0.25">
      <c r="B47" s="1"/>
      <c r="C47" s="1"/>
      <c r="D47" s="1"/>
      <c r="E47" s="1"/>
      <c r="F47" s="1"/>
      <c r="G47" s="1"/>
      <c r="H47" s="1"/>
      <c r="I47" s="1"/>
    </row>
    <row r="48" spans="1:10" x14ac:dyDescent="0.25">
      <c r="A48" cm="1">
        <f t="array" ref="A48:A55">$A$2:$A$9</f>
        <v>1969</v>
      </c>
      <c r="B48" s="20">
        <f t="shared" ref="B48:I55" si="4">IF(($A48+COLUMN()-1-1)&gt;1976,"NA",$A48+COLUMN()-1-1)</f>
        <v>1969</v>
      </c>
      <c r="C48" s="20">
        <f t="shared" si="4"/>
        <v>1970</v>
      </c>
      <c r="D48" s="10">
        <f t="shared" si="4"/>
        <v>1971</v>
      </c>
      <c r="E48" s="20">
        <f t="shared" si="4"/>
        <v>1972</v>
      </c>
      <c r="F48" s="10">
        <f t="shared" si="4"/>
        <v>1973</v>
      </c>
      <c r="G48" s="10">
        <f t="shared" si="4"/>
        <v>1974</v>
      </c>
      <c r="H48" s="10">
        <f t="shared" si="4"/>
        <v>1975</v>
      </c>
      <c r="I48" s="10">
        <f t="shared" si="4"/>
        <v>1976</v>
      </c>
      <c r="J48" t="s">
        <v>13</v>
      </c>
    </row>
    <row r="49" spans="1:10" x14ac:dyDescent="0.25">
      <c r="A49">
        <v>1970</v>
      </c>
      <c r="B49" s="20">
        <f t="shared" si="4"/>
        <v>1970</v>
      </c>
      <c r="C49" s="10">
        <f t="shared" si="4"/>
        <v>1971</v>
      </c>
      <c r="D49" s="20">
        <f t="shared" si="4"/>
        <v>1972</v>
      </c>
      <c r="E49" s="10">
        <f t="shared" si="4"/>
        <v>1973</v>
      </c>
      <c r="F49" s="10">
        <f t="shared" si="4"/>
        <v>1974</v>
      </c>
      <c r="G49" s="10">
        <f t="shared" si="4"/>
        <v>1975</v>
      </c>
      <c r="H49" s="10">
        <f t="shared" si="4"/>
        <v>1976</v>
      </c>
      <c r="I49" s="10" t="str">
        <f t="shared" si="4"/>
        <v>NA</v>
      </c>
      <c r="J49" t="s">
        <v>13</v>
      </c>
    </row>
    <row r="50" spans="1:10" x14ac:dyDescent="0.25">
      <c r="A50">
        <v>1971</v>
      </c>
      <c r="B50" s="10">
        <f t="shared" si="4"/>
        <v>1971</v>
      </c>
      <c r="C50" s="20">
        <f t="shared" si="4"/>
        <v>1972</v>
      </c>
      <c r="D50" s="10">
        <f t="shared" si="4"/>
        <v>1973</v>
      </c>
      <c r="E50" s="10">
        <f t="shared" si="4"/>
        <v>1974</v>
      </c>
      <c r="F50" s="10">
        <f t="shared" si="4"/>
        <v>1975</v>
      </c>
      <c r="G50" s="10">
        <f t="shared" si="4"/>
        <v>1976</v>
      </c>
      <c r="H50" s="10" t="str">
        <f t="shared" si="4"/>
        <v>NA</v>
      </c>
      <c r="I50" s="10" t="str">
        <f t="shared" si="4"/>
        <v>NA</v>
      </c>
      <c r="J50" t="s">
        <v>13</v>
      </c>
    </row>
    <row r="51" spans="1:10" x14ac:dyDescent="0.25">
      <c r="A51">
        <v>1972</v>
      </c>
      <c r="B51" s="20">
        <f t="shared" si="4"/>
        <v>1972</v>
      </c>
      <c r="C51" s="10">
        <f t="shared" si="4"/>
        <v>1973</v>
      </c>
      <c r="D51" s="10">
        <f t="shared" si="4"/>
        <v>1974</v>
      </c>
      <c r="E51" s="10">
        <f t="shared" si="4"/>
        <v>1975</v>
      </c>
      <c r="F51" s="10">
        <f t="shared" si="4"/>
        <v>1976</v>
      </c>
      <c r="G51" s="10" t="str">
        <f t="shared" si="4"/>
        <v>NA</v>
      </c>
      <c r="H51" s="10" t="str">
        <f t="shared" si="4"/>
        <v>NA</v>
      </c>
      <c r="I51" s="10" t="str">
        <f t="shared" si="4"/>
        <v>NA</v>
      </c>
      <c r="J51" t="s">
        <v>13</v>
      </c>
    </row>
    <row r="52" spans="1:10" x14ac:dyDescent="0.25">
      <c r="A52">
        <v>1973</v>
      </c>
      <c r="B52" s="10">
        <f t="shared" si="4"/>
        <v>1973</v>
      </c>
      <c r="C52" s="10">
        <f t="shared" si="4"/>
        <v>1974</v>
      </c>
      <c r="D52" s="10">
        <f t="shared" si="4"/>
        <v>1975</v>
      </c>
      <c r="E52" s="10">
        <f t="shared" si="4"/>
        <v>1976</v>
      </c>
      <c r="F52" s="10" t="str">
        <f t="shared" si="4"/>
        <v>NA</v>
      </c>
      <c r="G52" s="10" t="str">
        <f t="shared" si="4"/>
        <v>NA</v>
      </c>
      <c r="H52" s="10" t="str">
        <f t="shared" si="4"/>
        <v>NA</v>
      </c>
      <c r="I52" s="10" t="str">
        <f t="shared" si="4"/>
        <v>NA</v>
      </c>
      <c r="J52" t="s">
        <v>13</v>
      </c>
    </row>
    <row r="53" spans="1:10" x14ac:dyDescent="0.25">
      <c r="A53">
        <v>1974</v>
      </c>
      <c r="B53" s="10">
        <f t="shared" si="4"/>
        <v>1974</v>
      </c>
      <c r="C53" s="10">
        <f t="shared" si="4"/>
        <v>1975</v>
      </c>
      <c r="D53" s="10">
        <f t="shared" si="4"/>
        <v>1976</v>
      </c>
      <c r="E53" s="10" t="str">
        <f t="shared" si="4"/>
        <v>NA</v>
      </c>
      <c r="F53" s="10" t="str">
        <f t="shared" si="4"/>
        <v>NA</v>
      </c>
      <c r="G53" s="10" t="str">
        <f t="shared" si="4"/>
        <v>NA</v>
      </c>
      <c r="H53" s="10" t="str">
        <f t="shared" si="4"/>
        <v>NA</v>
      </c>
      <c r="I53" s="10" t="str">
        <f t="shared" si="4"/>
        <v>NA</v>
      </c>
      <c r="J53" t="s">
        <v>13</v>
      </c>
    </row>
    <row r="54" spans="1:10" x14ac:dyDescent="0.25">
      <c r="A54">
        <v>1975</v>
      </c>
      <c r="B54" s="10">
        <f t="shared" si="4"/>
        <v>1975</v>
      </c>
      <c r="C54" s="10">
        <f t="shared" si="4"/>
        <v>1976</v>
      </c>
      <c r="D54" s="10" t="str">
        <f t="shared" si="4"/>
        <v>NA</v>
      </c>
      <c r="E54" s="10" t="str">
        <f t="shared" si="4"/>
        <v>NA</v>
      </c>
      <c r="F54" s="10" t="str">
        <f t="shared" si="4"/>
        <v>NA</v>
      </c>
      <c r="G54" s="10" t="str">
        <f t="shared" si="4"/>
        <v>NA</v>
      </c>
      <c r="H54" s="10" t="str">
        <f t="shared" si="4"/>
        <v>NA</v>
      </c>
      <c r="I54" s="10" t="str">
        <f t="shared" si="4"/>
        <v>NA</v>
      </c>
      <c r="J54" t="s">
        <v>13</v>
      </c>
    </row>
    <row r="55" spans="1:10" x14ac:dyDescent="0.25">
      <c r="A55">
        <v>1976</v>
      </c>
      <c r="B55" s="10">
        <f>IF(($A55+COLUMN()-1-1)&gt;1976,"NA",$A55+COLUMN()-1-1)</f>
        <v>1976</v>
      </c>
      <c r="C55" s="10" t="str">
        <f t="shared" si="4"/>
        <v>NA</v>
      </c>
      <c r="D55" s="10" t="str">
        <f t="shared" si="4"/>
        <v>NA</v>
      </c>
      <c r="E55" s="10" t="str">
        <f t="shared" si="4"/>
        <v>NA</v>
      </c>
      <c r="F55" s="10" t="str">
        <f t="shared" si="4"/>
        <v>NA</v>
      </c>
      <c r="G55" s="10" t="str">
        <f t="shared" si="4"/>
        <v>NA</v>
      </c>
      <c r="H55" s="10" t="str">
        <f t="shared" si="4"/>
        <v>NA</v>
      </c>
      <c r="I55" s="10" t="str">
        <f t="shared" si="4"/>
        <v>NA</v>
      </c>
      <c r="J55" t="s">
        <v>13</v>
      </c>
    </row>
    <row r="56" spans="1:10" x14ac:dyDescent="0.25">
      <c r="A56" s="8" t="s">
        <v>10</v>
      </c>
      <c r="B56" s="11" cm="1">
        <f t="array" ref="B56">INDEX(B$48:B$55,8-B$1/12+1)</f>
        <v>1976</v>
      </c>
      <c r="C56" s="11" cm="1">
        <f t="array" ref="C56">INDEX(C$48:C$55,8-C$1/12+1)</f>
        <v>1976</v>
      </c>
      <c r="D56" s="11" cm="1">
        <f t="array" ref="D56">INDEX(D$48:D$55,8-D$1/12+1)</f>
        <v>1976</v>
      </c>
      <c r="E56" s="11" cm="1">
        <f t="array" ref="E56">INDEX(E$48:E$55,8-E$1/12+1)</f>
        <v>1976</v>
      </c>
      <c r="F56" s="11" cm="1">
        <f t="array" ref="F56">INDEX(F$48:F$55,8-F$1/12+1)</f>
        <v>1976</v>
      </c>
      <c r="G56" s="11" cm="1">
        <f t="array" ref="G56">INDEX(G$48:G$55,8-G$1/12+1)</f>
        <v>1976</v>
      </c>
      <c r="H56" s="11" cm="1">
        <f t="array" ref="H56">INDEX(H$48:H$55,8-H$1/12+1)</f>
        <v>1976</v>
      </c>
      <c r="I56" s="11" cm="1">
        <f t="array" ref="I56">INDEX(I$48:I$55,8-I$1/12+1)</f>
        <v>1976</v>
      </c>
    </row>
    <row r="57" spans="1:10" x14ac:dyDescent="0.25">
      <c r="B57" s="1"/>
      <c r="C57" s="1"/>
      <c r="D57" s="1"/>
      <c r="E57" s="1"/>
      <c r="F57" s="1"/>
      <c r="G57" s="1"/>
      <c r="H57" s="1"/>
      <c r="I57" s="1"/>
    </row>
    <row r="58" spans="1:10" x14ac:dyDescent="0.25">
      <c r="A58" cm="1">
        <f t="array" ref="A58:A65">$A$2:$A$9</f>
        <v>1969</v>
      </c>
      <c r="B58" s="1">
        <f t="shared" ref="B58:I64" si="5">IFERROR(B$56-$A58-B$1/12+1,"NA")</f>
        <v>7</v>
      </c>
      <c r="C58" s="1">
        <f t="shared" si="5"/>
        <v>6</v>
      </c>
      <c r="D58" s="1">
        <f t="shared" si="5"/>
        <v>5</v>
      </c>
      <c r="E58" s="1">
        <f t="shared" si="5"/>
        <v>4</v>
      </c>
      <c r="F58" s="1">
        <f t="shared" si="5"/>
        <v>3</v>
      </c>
      <c r="G58" s="1">
        <f t="shared" si="5"/>
        <v>2</v>
      </c>
      <c r="H58" s="1">
        <f t="shared" si="5"/>
        <v>1</v>
      </c>
      <c r="I58" s="1">
        <f t="shared" si="5"/>
        <v>0</v>
      </c>
      <c r="J58" t="s">
        <v>24</v>
      </c>
    </row>
    <row r="59" spans="1:10" x14ac:dyDescent="0.25">
      <c r="A59">
        <v>1970</v>
      </c>
      <c r="B59" s="1">
        <f t="shared" si="5"/>
        <v>6</v>
      </c>
      <c r="C59" s="1">
        <f t="shared" si="5"/>
        <v>5</v>
      </c>
      <c r="D59" s="1">
        <f t="shared" si="5"/>
        <v>4</v>
      </c>
      <c r="E59" s="1">
        <f t="shared" si="5"/>
        <v>3</v>
      </c>
      <c r="F59" s="1">
        <f t="shared" si="5"/>
        <v>2</v>
      </c>
      <c r="G59" s="1">
        <f t="shared" si="5"/>
        <v>1</v>
      </c>
      <c r="H59" s="1">
        <f t="shared" si="5"/>
        <v>0</v>
      </c>
      <c r="I59" s="1"/>
      <c r="J59" t="s">
        <v>24</v>
      </c>
    </row>
    <row r="60" spans="1:10" x14ac:dyDescent="0.25">
      <c r="A60">
        <v>1971</v>
      </c>
      <c r="B60" s="1">
        <f t="shared" si="5"/>
        <v>5</v>
      </c>
      <c r="C60" s="1">
        <f t="shared" si="5"/>
        <v>4</v>
      </c>
      <c r="D60" s="1">
        <f t="shared" si="5"/>
        <v>3</v>
      </c>
      <c r="E60" s="1">
        <f t="shared" si="5"/>
        <v>2</v>
      </c>
      <c r="F60" s="1">
        <f t="shared" si="5"/>
        <v>1</v>
      </c>
      <c r="G60" s="1">
        <f t="shared" si="5"/>
        <v>0</v>
      </c>
      <c r="H60" s="1"/>
      <c r="I60" s="1"/>
      <c r="J60" t="s">
        <v>24</v>
      </c>
    </row>
    <row r="61" spans="1:10" x14ac:dyDescent="0.25">
      <c r="A61">
        <v>1972</v>
      </c>
      <c r="B61" s="1">
        <f t="shared" si="5"/>
        <v>4</v>
      </c>
      <c r="C61" s="1">
        <f t="shared" si="5"/>
        <v>3</v>
      </c>
      <c r="D61" s="1">
        <f t="shared" si="5"/>
        <v>2</v>
      </c>
      <c r="E61" s="1">
        <f t="shared" si="5"/>
        <v>1</v>
      </c>
      <c r="F61" s="1">
        <f t="shared" si="5"/>
        <v>0</v>
      </c>
      <c r="G61" s="1"/>
      <c r="H61" s="1"/>
      <c r="I61" s="1"/>
      <c r="J61" t="s">
        <v>24</v>
      </c>
    </row>
    <row r="62" spans="1:10" x14ac:dyDescent="0.25">
      <c r="A62">
        <v>1973</v>
      </c>
      <c r="B62" s="1">
        <f t="shared" si="5"/>
        <v>3</v>
      </c>
      <c r="C62" s="1">
        <f t="shared" si="5"/>
        <v>2</v>
      </c>
      <c r="D62" s="1">
        <f t="shared" si="5"/>
        <v>1</v>
      </c>
      <c r="E62" s="1">
        <f t="shared" si="5"/>
        <v>0</v>
      </c>
      <c r="F62" s="1"/>
      <c r="G62" s="1"/>
      <c r="H62" s="1"/>
      <c r="I62" s="1"/>
      <c r="J62" t="s">
        <v>24</v>
      </c>
    </row>
    <row r="63" spans="1:10" x14ac:dyDescent="0.25">
      <c r="A63">
        <v>1974</v>
      </c>
      <c r="B63" s="1">
        <f t="shared" si="5"/>
        <v>2</v>
      </c>
      <c r="C63" s="1">
        <f t="shared" si="5"/>
        <v>1</v>
      </c>
      <c r="D63" s="1">
        <f t="shared" si="5"/>
        <v>0</v>
      </c>
      <c r="E63" s="1"/>
      <c r="F63" s="1"/>
      <c r="G63" s="1"/>
      <c r="H63" s="1"/>
      <c r="I63" s="1"/>
      <c r="J63" t="s">
        <v>24</v>
      </c>
    </row>
    <row r="64" spans="1:10" x14ac:dyDescent="0.25">
      <c r="A64">
        <v>1975</v>
      </c>
      <c r="B64" s="1">
        <f t="shared" si="5"/>
        <v>1</v>
      </c>
      <c r="C64" s="1">
        <f t="shared" si="5"/>
        <v>0</v>
      </c>
      <c r="D64" s="1"/>
      <c r="E64" s="1"/>
      <c r="F64" s="1"/>
      <c r="G64" s="1"/>
      <c r="H64" s="1"/>
      <c r="I64" s="1"/>
      <c r="J64" t="s">
        <v>24</v>
      </c>
    </row>
    <row r="65" spans="1:10" x14ac:dyDescent="0.25">
      <c r="A65">
        <v>1976</v>
      </c>
      <c r="B65" s="1">
        <f>IFERROR(B$56-$A65-B$1/12+1,"NA")</f>
        <v>0</v>
      </c>
      <c r="C65" s="1"/>
      <c r="D65" s="1"/>
      <c r="E65" s="1"/>
      <c r="F65" s="1"/>
      <c r="G65" s="1"/>
      <c r="H65" s="1"/>
      <c r="I65" s="1"/>
      <c r="J65" t="s">
        <v>24</v>
      </c>
    </row>
    <row r="66" spans="1:10" x14ac:dyDescent="0.25">
      <c r="B66" s="1"/>
      <c r="C66" s="1"/>
      <c r="D66" s="1"/>
      <c r="E66" s="1"/>
      <c r="F66" s="1"/>
      <c r="G66" s="1"/>
      <c r="H66" s="1"/>
      <c r="I66" s="1"/>
    </row>
    <row r="67" spans="1:10" x14ac:dyDescent="0.25">
      <c r="A67" cm="1">
        <f t="array" ref="A67:A74">$A$2:$A$9</f>
        <v>1969</v>
      </c>
      <c r="B67" s="12">
        <f>IFERROR((1.15)^B58,"NA")</f>
        <v>2.6600198804687483</v>
      </c>
      <c r="C67" s="12">
        <f>IFERROR((1.15)^C58,"NA")</f>
        <v>2.3130607656249991</v>
      </c>
      <c r="D67" s="12">
        <f>IFERROR((1.15)^D58,"NA")</f>
        <v>2.0113571874999994</v>
      </c>
      <c r="E67" s="12">
        <f>IFERROR((1.15)^E58,"NA")</f>
        <v>1.7490062499999994</v>
      </c>
      <c r="F67" s="12">
        <f>IFERROR((1.15)^F58,"NA")</f>
        <v>1.5208749999999995</v>
      </c>
      <c r="G67" s="12">
        <f>IFERROR((1.15)^G58,"NA")</f>
        <v>1.3224999999999998</v>
      </c>
      <c r="H67" s="12">
        <f>IFERROR((1.15)^H58,"NA")</f>
        <v>1.1499999999999999</v>
      </c>
      <c r="I67" s="12">
        <f>IFERROR((1.15)^I58,"NA")</f>
        <v>1</v>
      </c>
      <c r="J67" t="s">
        <v>8</v>
      </c>
    </row>
    <row r="68" spans="1:10" x14ac:dyDescent="0.25">
      <c r="A68">
        <v>1970</v>
      </c>
      <c r="B68" s="12">
        <f t="shared" ref="B68:C74" si="6">IFERROR((1.15)^B59,"NA")</f>
        <v>2.3130607656249991</v>
      </c>
      <c r="C68" s="12">
        <f t="shared" si="6"/>
        <v>2.0113571874999994</v>
      </c>
      <c r="D68" s="12">
        <f t="shared" ref="D68:E68" si="7">IFERROR((1.15)^D59,"NA")</f>
        <v>1.7490062499999994</v>
      </c>
      <c r="E68" s="12">
        <f t="shared" si="7"/>
        <v>1.5208749999999995</v>
      </c>
      <c r="F68" s="12">
        <f t="shared" ref="F68:G68" si="8">IFERROR((1.15)^F59,"NA")</f>
        <v>1.3224999999999998</v>
      </c>
      <c r="G68" s="12">
        <f t="shared" si="8"/>
        <v>1.1499999999999999</v>
      </c>
      <c r="H68" s="12">
        <f t="shared" ref="H68" si="9">IFERROR((1.15)^H59,"NA")</f>
        <v>1</v>
      </c>
      <c r="I68" s="12" t="str">
        <f>IFERROR((1.15)^(I$56-I49),"NA")</f>
        <v>NA</v>
      </c>
      <c r="J68" t="s">
        <v>8</v>
      </c>
    </row>
    <row r="69" spans="1:10" x14ac:dyDescent="0.25">
      <c r="A69">
        <v>1971</v>
      </c>
      <c r="B69" s="12">
        <f t="shared" si="6"/>
        <v>2.0113571874999994</v>
      </c>
      <c r="C69" s="12">
        <f t="shared" si="6"/>
        <v>1.7490062499999994</v>
      </c>
      <c r="D69" s="12">
        <f t="shared" ref="D69:E69" si="10">IFERROR((1.15)^D60,"NA")</f>
        <v>1.5208749999999995</v>
      </c>
      <c r="E69" s="12">
        <f t="shared" si="10"/>
        <v>1.3224999999999998</v>
      </c>
      <c r="F69" s="12">
        <f t="shared" ref="F69:G69" si="11">IFERROR((1.15)^F60,"NA")</f>
        <v>1.1499999999999999</v>
      </c>
      <c r="G69" s="12">
        <f t="shared" si="11"/>
        <v>1</v>
      </c>
      <c r="H69" s="12" t="str">
        <f>IFERROR((1.15)^(H$56-H50),"NA")</f>
        <v>NA</v>
      </c>
      <c r="I69" s="12" t="str">
        <f>IFERROR((1.15)^(I$56-I50),"NA")</f>
        <v>NA</v>
      </c>
      <c r="J69" t="s">
        <v>8</v>
      </c>
    </row>
    <row r="70" spans="1:10" x14ac:dyDescent="0.25">
      <c r="A70">
        <v>1972</v>
      </c>
      <c r="B70" s="12">
        <f t="shared" si="6"/>
        <v>1.7490062499999994</v>
      </c>
      <c r="C70" s="12">
        <f t="shared" si="6"/>
        <v>1.5208749999999995</v>
      </c>
      <c r="D70" s="12">
        <f t="shared" ref="D70:E70" si="12">IFERROR((1.15)^D61,"NA")</f>
        <v>1.3224999999999998</v>
      </c>
      <c r="E70" s="12">
        <f t="shared" si="12"/>
        <v>1.1499999999999999</v>
      </c>
      <c r="F70" s="12">
        <f t="shared" ref="F70" si="13">IFERROR((1.15)^F61,"NA")</f>
        <v>1</v>
      </c>
      <c r="G70" s="12" t="str">
        <f>IFERROR((1.15)^(G$56-G51),"NA")</f>
        <v>NA</v>
      </c>
      <c r="H70" s="12" t="str">
        <f>IFERROR((1.15)^(H$56-H51),"NA")</f>
        <v>NA</v>
      </c>
      <c r="I70" s="12" t="str">
        <f>IFERROR((1.15)^(I$56-I51),"NA")</f>
        <v>NA</v>
      </c>
      <c r="J70" t="s">
        <v>8</v>
      </c>
    </row>
    <row r="71" spans="1:10" x14ac:dyDescent="0.25">
      <c r="A71">
        <v>1973</v>
      </c>
      <c r="B71" s="12">
        <f t="shared" si="6"/>
        <v>1.5208749999999995</v>
      </c>
      <c r="C71" s="12">
        <f t="shared" si="6"/>
        <v>1.3224999999999998</v>
      </c>
      <c r="D71" s="12">
        <f t="shared" ref="D71:E71" si="14">IFERROR((1.15)^D62,"NA")</f>
        <v>1.1499999999999999</v>
      </c>
      <c r="E71" s="12">
        <f t="shared" si="14"/>
        <v>1</v>
      </c>
      <c r="F71" s="12" t="str">
        <f>IFERROR((1.15)^(F$56-F52),"NA")</f>
        <v>NA</v>
      </c>
      <c r="G71" s="12" t="str">
        <f>IFERROR((1.15)^(G$56-G52),"NA")</f>
        <v>NA</v>
      </c>
      <c r="H71" s="12" t="str">
        <f>IFERROR((1.15)^(H$56-H52),"NA")</f>
        <v>NA</v>
      </c>
      <c r="I71" s="12" t="str">
        <f>IFERROR((1.15)^(I$56-I52),"NA")</f>
        <v>NA</v>
      </c>
      <c r="J71" t="s">
        <v>8</v>
      </c>
    </row>
    <row r="72" spans="1:10" x14ac:dyDescent="0.25">
      <c r="A72">
        <v>1974</v>
      </c>
      <c r="B72" s="12">
        <f t="shared" si="6"/>
        <v>1.3224999999999998</v>
      </c>
      <c r="C72" s="12">
        <f t="shared" si="6"/>
        <v>1.1499999999999999</v>
      </c>
      <c r="D72" s="12">
        <f t="shared" ref="D72" si="15">IFERROR((1.15)^D63,"NA")</f>
        <v>1</v>
      </c>
      <c r="E72" s="12" t="str">
        <f>IFERROR((1.15)^(E$56-E53),"NA")</f>
        <v>NA</v>
      </c>
      <c r="F72" s="12" t="str">
        <f>IFERROR((1.15)^(F$56-F53),"NA")</f>
        <v>NA</v>
      </c>
      <c r="G72" s="12" t="str">
        <f>IFERROR((1.15)^(G$56-G53),"NA")</f>
        <v>NA</v>
      </c>
      <c r="H72" s="12" t="str">
        <f>IFERROR((1.15)^(H$56-H53),"NA")</f>
        <v>NA</v>
      </c>
      <c r="I72" s="12" t="str">
        <f>IFERROR((1.15)^(I$56-I53),"NA")</f>
        <v>NA</v>
      </c>
      <c r="J72" t="s">
        <v>8</v>
      </c>
    </row>
    <row r="73" spans="1:10" x14ac:dyDescent="0.25">
      <c r="A73">
        <v>1975</v>
      </c>
      <c r="B73" s="12">
        <f t="shared" si="6"/>
        <v>1.1499999999999999</v>
      </c>
      <c r="C73" s="12">
        <f t="shared" si="6"/>
        <v>1</v>
      </c>
      <c r="D73" s="12" t="str">
        <f>IFERROR((1.15)^(D$56-D54),"NA")</f>
        <v>NA</v>
      </c>
      <c r="E73" s="12" t="str">
        <f>IFERROR((1.15)^(E$56-E54),"NA")</f>
        <v>NA</v>
      </c>
      <c r="F73" s="12" t="str">
        <f>IFERROR((1.15)^(F$56-F54),"NA")</f>
        <v>NA</v>
      </c>
      <c r="G73" s="12" t="str">
        <f>IFERROR((1.15)^(G$56-G54),"NA")</f>
        <v>NA</v>
      </c>
      <c r="H73" s="12" t="str">
        <f>IFERROR((1.15)^(H$56-H54),"NA")</f>
        <v>NA</v>
      </c>
      <c r="I73" s="12" t="str">
        <f>IFERROR((1.15)^(I$56-I54),"NA")</f>
        <v>NA</v>
      </c>
      <c r="J73" t="s">
        <v>8</v>
      </c>
    </row>
    <row r="74" spans="1:10" x14ac:dyDescent="0.25">
      <c r="A74">
        <v>1976</v>
      </c>
      <c r="B74" s="12">
        <f t="shared" si="6"/>
        <v>1</v>
      </c>
      <c r="C74" s="12" t="str">
        <f>IFERROR((1.15)^(C$56-C55),"NA")</f>
        <v>NA</v>
      </c>
      <c r="D74" s="12" t="str">
        <f>IFERROR((1.15)^(D$56-D55),"NA")</f>
        <v>NA</v>
      </c>
      <c r="E74" s="12" t="str">
        <f>IFERROR((1.15)^(E$56-E55),"NA")</f>
        <v>NA</v>
      </c>
      <c r="F74" s="12" t="str">
        <f>IFERROR((1.15)^(F$56-F55),"NA")</f>
        <v>NA</v>
      </c>
      <c r="G74" s="12" t="str">
        <f>IFERROR((1.15)^(G$56-G55),"NA")</f>
        <v>NA</v>
      </c>
      <c r="H74" s="12" t="str">
        <f>IFERROR((1.15)^(H$56-H55),"NA")</f>
        <v>NA</v>
      </c>
      <c r="I74" s="12" t="str">
        <f>IFERROR((1.15)^(I$56-I55),"NA")</f>
        <v>NA</v>
      </c>
      <c r="J74" t="s">
        <v>8</v>
      </c>
    </row>
    <row r="76" spans="1:10" x14ac:dyDescent="0.25">
      <c r="A76" cm="1">
        <f t="array" ref="A76:A83">$A$2:$A$9</f>
        <v>1969</v>
      </c>
      <c r="B76" s="6">
        <f t="shared" ref="B76:I82" si="16">IFERROR(B$46/B67,"NA")</f>
        <v>4897.8686923759451</v>
      </c>
      <c r="C76" s="6">
        <f t="shared" si="16"/>
        <v>13903.502760093188</v>
      </c>
      <c r="D76" s="6">
        <f t="shared" si="16"/>
        <v>17103.716792793246</v>
      </c>
      <c r="E76" s="6">
        <f t="shared" si="16"/>
        <v>19020.162177983271</v>
      </c>
      <c r="F76" s="6">
        <f t="shared" si="16"/>
        <v>18422.982741170923</v>
      </c>
      <c r="G76" s="6">
        <f t="shared" si="16"/>
        <v>21961.104428023147</v>
      </c>
      <c r="H76" s="6">
        <f t="shared" si="16"/>
        <v>21348.713398402841</v>
      </c>
      <c r="I76" s="6">
        <f t="shared" si="16"/>
        <v>21423.398328690808</v>
      </c>
      <c r="J76" t="s">
        <v>23</v>
      </c>
    </row>
    <row r="77" spans="1:10" x14ac:dyDescent="0.25">
      <c r="A77">
        <v>1970</v>
      </c>
      <c r="B77" s="6">
        <f t="shared" si="16"/>
        <v>5632.5489962323354</v>
      </c>
      <c r="C77" s="6">
        <f t="shared" si="16"/>
        <v>15989.028174107165</v>
      </c>
      <c r="D77" s="6">
        <f t="shared" si="16"/>
        <v>19669.274311712234</v>
      </c>
      <c r="E77" s="6">
        <f t="shared" si="16"/>
        <v>21873.186504680762</v>
      </c>
      <c r="F77" s="6">
        <f t="shared" si="16"/>
        <v>21186.430152346558</v>
      </c>
      <c r="G77" s="6">
        <f t="shared" si="16"/>
        <v>25255.270092226616</v>
      </c>
      <c r="H77" s="6">
        <f t="shared" si="16"/>
        <v>24551.020408163266</v>
      </c>
      <c r="I77" s="6" t="str">
        <f t="shared" si="16"/>
        <v>NA</v>
      </c>
      <c r="J77" t="s">
        <v>23</v>
      </c>
    </row>
    <row r="78" spans="1:10" x14ac:dyDescent="0.25">
      <c r="A78">
        <v>1971</v>
      </c>
      <c r="B78" s="6">
        <f t="shared" si="16"/>
        <v>6477.4313456671853</v>
      </c>
      <c r="C78" s="6">
        <f t="shared" si="16"/>
        <v>18387.38240022324</v>
      </c>
      <c r="D78" s="6">
        <f t="shared" si="16"/>
        <v>22619.665458469066</v>
      </c>
      <c r="E78" s="6">
        <f t="shared" si="16"/>
        <v>25154.164480382871</v>
      </c>
      <c r="F78" s="6">
        <f t="shared" si="16"/>
        <v>24364.394675198542</v>
      </c>
      <c r="G78" s="6">
        <f t="shared" si="16"/>
        <v>29043.560606060608</v>
      </c>
      <c r="H78" s="6" t="str">
        <f t="shared" si="16"/>
        <v>NA</v>
      </c>
      <c r="I78" s="6" t="str">
        <f t="shared" si="16"/>
        <v>NA</v>
      </c>
      <c r="J78" t="s">
        <v>23</v>
      </c>
    </row>
    <row r="79" spans="1:10" x14ac:dyDescent="0.25">
      <c r="A79">
        <v>1972</v>
      </c>
      <c r="B79" s="6">
        <f t="shared" si="16"/>
        <v>7449.0460475172631</v>
      </c>
      <c r="C79" s="6">
        <f t="shared" si="16"/>
        <v>21145.489760256725</v>
      </c>
      <c r="D79" s="6">
        <f t="shared" si="16"/>
        <v>26012.615277239423</v>
      </c>
      <c r="E79" s="6">
        <f t="shared" si="16"/>
        <v>28927.289152440298</v>
      </c>
      <c r="F79" s="6">
        <f t="shared" si="16"/>
        <v>28019.05387647832</v>
      </c>
      <c r="G79" s="6" t="str">
        <f t="shared" si="16"/>
        <v>NA</v>
      </c>
      <c r="H79" s="6" t="str">
        <f t="shared" si="16"/>
        <v>NA</v>
      </c>
      <c r="I79" s="6" t="str">
        <f t="shared" si="16"/>
        <v>NA</v>
      </c>
      <c r="J79" t="s">
        <v>23</v>
      </c>
    </row>
    <row r="80" spans="1:10" x14ac:dyDescent="0.25">
      <c r="A80">
        <v>1973</v>
      </c>
      <c r="B80" s="6">
        <f t="shared" si="16"/>
        <v>8566.4029546448528</v>
      </c>
      <c r="C80" s="6">
        <f t="shared" si="16"/>
        <v>24317.313224295231</v>
      </c>
      <c r="D80" s="6">
        <f t="shared" si="16"/>
        <v>29914.507568825335</v>
      </c>
      <c r="E80" s="6">
        <f t="shared" si="16"/>
        <v>33266.382525306341</v>
      </c>
      <c r="F80" s="6" t="str">
        <f t="shared" si="16"/>
        <v>NA</v>
      </c>
      <c r="G80" s="6" t="str">
        <f t="shared" si="16"/>
        <v>NA</v>
      </c>
      <c r="H80" s="6" t="str">
        <f t="shared" si="16"/>
        <v>NA</v>
      </c>
      <c r="I80" s="6" t="str">
        <f t="shared" si="16"/>
        <v>NA</v>
      </c>
      <c r="J80" t="s">
        <v>23</v>
      </c>
    </row>
    <row r="81" spans="1:10" x14ac:dyDescent="0.25">
      <c r="A81">
        <v>1974</v>
      </c>
      <c r="B81" s="6">
        <f t="shared" si="16"/>
        <v>9851.3633978415783</v>
      </c>
      <c r="C81" s="6">
        <f t="shared" si="16"/>
        <v>27964.910207939512</v>
      </c>
      <c r="D81" s="6">
        <f t="shared" si="16"/>
        <v>34401.683704149131</v>
      </c>
      <c r="E81" s="6" t="str">
        <f t="shared" si="16"/>
        <v>NA</v>
      </c>
      <c r="F81" s="6" t="str">
        <f t="shared" si="16"/>
        <v>NA</v>
      </c>
      <c r="G81" s="6" t="str">
        <f t="shared" si="16"/>
        <v>NA</v>
      </c>
      <c r="H81" s="6" t="str">
        <f t="shared" si="16"/>
        <v>NA</v>
      </c>
      <c r="I81" s="6" t="str">
        <f t="shared" si="16"/>
        <v>NA</v>
      </c>
      <c r="J81" t="s">
        <v>23</v>
      </c>
    </row>
    <row r="82" spans="1:10" x14ac:dyDescent="0.25">
      <c r="A82">
        <v>1975</v>
      </c>
      <c r="B82" s="6">
        <f t="shared" si="16"/>
        <v>11329.067907517814</v>
      </c>
      <c r="C82" s="6">
        <f t="shared" si="16"/>
        <v>32159.646739130436</v>
      </c>
      <c r="D82" s="6" t="str">
        <f t="shared" si="16"/>
        <v>NA</v>
      </c>
      <c r="E82" s="6" t="str">
        <f t="shared" si="16"/>
        <v>NA</v>
      </c>
      <c r="F82" s="6" t="str">
        <f t="shared" si="16"/>
        <v>NA</v>
      </c>
      <c r="G82" s="6" t="str">
        <f t="shared" si="16"/>
        <v>NA</v>
      </c>
      <c r="H82" s="6" t="str">
        <f t="shared" si="16"/>
        <v>NA</v>
      </c>
      <c r="I82" s="6" t="str">
        <f t="shared" si="16"/>
        <v>NA</v>
      </c>
      <c r="J82" t="s">
        <v>23</v>
      </c>
    </row>
    <row r="83" spans="1:10" x14ac:dyDescent="0.25">
      <c r="A83">
        <v>1976</v>
      </c>
      <c r="B83" s="6">
        <f>IFERROR(B$46/B74,"NA")</f>
        <v>13028.428093645485</v>
      </c>
      <c r="C83" s="6" t="str">
        <f t="shared" ref="C83:I83" si="17">IFERROR(C$46/C74,"NA")</f>
        <v>NA</v>
      </c>
      <c r="D83" s="6" t="str">
        <f t="shared" si="17"/>
        <v>NA</v>
      </c>
      <c r="E83" s="6" t="str">
        <f t="shared" si="17"/>
        <v>NA</v>
      </c>
      <c r="F83" s="6" t="str">
        <f t="shared" si="17"/>
        <v>NA</v>
      </c>
      <c r="G83" s="6" t="str">
        <f t="shared" si="17"/>
        <v>NA</v>
      </c>
      <c r="H83" s="6" t="str">
        <f t="shared" si="17"/>
        <v>NA</v>
      </c>
      <c r="I83" s="6" t="str">
        <f t="shared" si="17"/>
        <v>NA</v>
      </c>
      <c r="J83" t="s">
        <v>23</v>
      </c>
    </row>
    <row r="85" spans="1:10" x14ac:dyDescent="0.25">
      <c r="A85" cm="1">
        <f t="array" ref="A85:A92">$A$2:$A$9</f>
        <v>1969</v>
      </c>
      <c r="B85" s="6" cm="1">
        <f t="array" ref="B85:I92">IFERROR(open*adjusted_case+paid,_xleta.NA)</f>
        <v>3793503.650589583</v>
      </c>
      <c r="C85" s="6">
        <v>12084942.318478279</v>
      </c>
      <c r="D85" s="6">
        <v>18563820.50958604</v>
      </c>
      <c r="E85" s="6">
        <v>25924315.586647823</v>
      </c>
      <c r="F85" s="6">
        <v>23516364.154370733</v>
      </c>
      <c r="G85" s="6">
        <v>24979244.887437709</v>
      </c>
      <c r="H85" s="6">
        <v>24016864.241348714</v>
      </c>
      <c r="I85" s="6">
        <v>23506000</v>
      </c>
      <c r="J85" t="s">
        <v>14</v>
      </c>
    </row>
    <row r="86" spans="1:10" x14ac:dyDescent="0.25">
      <c r="A86">
        <v>1970</v>
      </c>
      <c r="B86" s="6">
        <v>3760482.3375133416</v>
      </c>
      <c r="C86" s="6">
        <v>15830499.962620556</v>
      </c>
      <c r="D86" s="6">
        <v>24615996.184157357</v>
      </c>
      <c r="E86" s="6">
        <v>33169801.78131903</v>
      </c>
      <c r="F86" s="6">
        <v>30722141.016819481</v>
      </c>
      <c r="G86" s="6">
        <v>33362728.919631094</v>
      </c>
      <c r="H86" s="6">
        <v>32216000</v>
      </c>
      <c r="I86" s="6" t="e" vm="1">
        <v>#VALUE!</v>
      </c>
      <c r="J86" t="s">
        <v>14</v>
      </c>
    </row>
    <row r="87" spans="1:10" x14ac:dyDescent="0.25">
      <c r="A87">
        <v>1971</v>
      </c>
      <c r="B87" s="6">
        <v>5982184.7214957885</v>
      </c>
      <c r="C87" s="6">
        <v>25583831.209896684</v>
      </c>
      <c r="D87" s="6">
        <v>41384824.588566795</v>
      </c>
      <c r="E87" s="6">
        <v>50323341.900208786</v>
      </c>
      <c r="F87" s="6">
        <v>46191355.596183516</v>
      </c>
      <c r="G87" s="6">
        <v>48377000</v>
      </c>
      <c r="H87" s="6" t="e" vm="1">
        <v>#VALUE!</v>
      </c>
      <c r="I87" s="6" t="e" vm="1">
        <v>#VALUE!</v>
      </c>
      <c r="J87" t="s">
        <v>14</v>
      </c>
    </row>
    <row r="88" spans="1:10" x14ac:dyDescent="0.25">
      <c r="A88">
        <v>1972</v>
      </c>
      <c r="B88" s="6">
        <v>7819355.0275605051</v>
      </c>
      <c r="C88" s="6">
        <v>33794109.51576075</v>
      </c>
      <c r="D88" s="6">
        <v>51361060.726793669</v>
      </c>
      <c r="E88" s="6">
        <v>64559285.654721923</v>
      </c>
      <c r="F88" s="6">
        <v>61163000</v>
      </c>
      <c r="G88" s="6" t="e" vm="1">
        <v>#VALUE!</v>
      </c>
      <c r="H88" s="6" t="e" vm="1">
        <v>#VALUE!</v>
      </c>
      <c r="I88" s="6" t="e" vm="1">
        <v>#VALUE!</v>
      </c>
      <c r="J88" t="s">
        <v>14</v>
      </c>
    </row>
    <row r="89" spans="1:10" x14ac:dyDescent="0.25">
      <c r="A89">
        <v>1973</v>
      </c>
      <c r="B89" s="6">
        <v>9533246.4146535993</v>
      </c>
      <c r="C89" s="6">
        <v>34585430.755321778</v>
      </c>
      <c r="D89" s="6">
        <v>49667341.655991018</v>
      </c>
      <c r="E89" s="6">
        <v>73733000</v>
      </c>
      <c r="F89" s="6" t="e" vm="1">
        <v>#VALUE!</v>
      </c>
      <c r="G89" s="6" t="e" vm="1">
        <v>#VALUE!</v>
      </c>
      <c r="H89" s="6" t="e" vm="1">
        <v>#VALUE!</v>
      </c>
      <c r="I89" s="6" t="e" vm="1">
        <v>#VALUE!</v>
      </c>
      <c r="J89" t="s">
        <v>14</v>
      </c>
    </row>
    <row r="90" spans="1:10" x14ac:dyDescent="0.25">
      <c r="A90">
        <v>1974</v>
      </c>
      <c r="B90" s="6">
        <v>10348458.389970351</v>
      </c>
      <c r="C90" s="6">
        <v>41241242.674858227</v>
      </c>
      <c r="D90" s="6">
        <v>63477000.000000007</v>
      </c>
      <c r="E90" s="6" t="e" vm="1">
        <v>#VALUE!</v>
      </c>
      <c r="F90" s="6" t="e" vm="1">
        <v>#VALUE!</v>
      </c>
      <c r="G90" s="6" t="e" vm="1">
        <v>#VALUE!</v>
      </c>
      <c r="H90" s="6" t="e" vm="1">
        <v>#VALUE!</v>
      </c>
      <c r="I90" s="6" t="e" vm="1">
        <v>#VALUE!</v>
      </c>
      <c r="J90" t="s">
        <v>14</v>
      </c>
    </row>
    <row r="91" spans="1:10" x14ac:dyDescent="0.25">
      <c r="A91">
        <v>1975</v>
      </c>
      <c r="B91" s="6">
        <v>13102479.278755272</v>
      </c>
      <c r="C91" s="6">
        <v>48904000</v>
      </c>
      <c r="D91" s="6" t="e" vm="1">
        <v>#VALUE!</v>
      </c>
      <c r="E91" s="6" t="e" vm="1">
        <v>#VALUE!</v>
      </c>
      <c r="F91" s="6" t="e" vm="1">
        <v>#VALUE!</v>
      </c>
      <c r="G91" s="6" t="e" vm="1">
        <v>#VALUE!</v>
      </c>
      <c r="H91" s="6" t="e" vm="1">
        <v>#VALUE!</v>
      </c>
      <c r="I91" s="6" t="e" vm="1">
        <v>#VALUE!</v>
      </c>
      <c r="J91" t="s">
        <v>14</v>
      </c>
    </row>
    <row r="92" spans="1:10" x14ac:dyDescent="0.25">
      <c r="A92">
        <v>1976</v>
      </c>
      <c r="B92" s="6">
        <v>15791000</v>
      </c>
      <c r="C92" s="6" t="e" vm="1">
        <v>#VALUE!</v>
      </c>
      <c r="D92" s="6" t="e" vm="1">
        <v>#VALUE!</v>
      </c>
      <c r="E92" s="6" t="e" vm="1">
        <v>#VALUE!</v>
      </c>
      <c r="F92" s="6" t="e" vm="1">
        <v>#VALUE!</v>
      </c>
      <c r="G92" s="6" t="e" vm="1">
        <v>#VALUE!</v>
      </c>
      <c r="H92" s="6" t="e" vm="1">
        <v>#VALUE!</v>
      </c>
      <c r="I92" s="6" t="e" vm="1">
        <v>#VALUE!</v>
      </c>
      <c r="J92" t="s">
        <v>14</v>
      </c>
    </row>
    <row r="94" spans="1:10" x14ac:dyDescent="0.25">
      <c r="B94">
        <f>SUM(C$85:C91)/SUM(B$85:B91)</f>
        <v>3.9018253343119409</v>
      </c>
      <c r="C94">
        <f>SUM(D$85:D90)/SUM(C$85:C90)</f>
        <v>1.5269124417044797</v>
      </c>
      <c r="D94">
        <f>SUM(E$85:E89)/SUM(D$85:D89)</f>
        <v>1.3346930468465892</v>
      </c>
      <c r="E94">
        <f>SUM(F$85:F88)/SUM(E$85:E88)</f>
        <v>0.92881873861353104</v>
      </c>
      <c r="F94">
        <f>SUM(G$85:G87)/SUM(F$85:F87)</f>
        <v>1.0626219432312325</v>
      </c>
    </row>
    <row r="110" spans="1:9" x14ac:dyDescent="0.25">
      <c r="A110" t="s">
        <v>14</v>
      </c>
    </row>
    <row r="111" spans="1:9" x14ac:dyDescent="0.25">
      <c r="A111">
        <v>1969</v>
      </c>
      <c r="B111" s="13">
        <f>B11+B29*B38/B136</f>
        <v>3793503.650589583</v>
      </c>
      <c r="C111" s="13">
        <f>C11+C29*C38/C136</f>
        <v>12084942.318478277</v>
      </c>
      <c r="D111" s="13">
        <f>D11+D29*D38/D136</f>
        <v>18563820.50958604</v>
      </c>
      <c r="E111" s="13">
        <f>E11+E29*E38/E136</f>
        <v>25924315.586647823</v>
      </c>
      <c r="F111" s="13">
        <f>F11+F29*F38/F136</f>
        <v>23516364.154370736</v>
      </c>
      <c r="G111" s="13">
        <f>G11+G29*G38/G136</f>
        <v>24979244.887437705</v>
      </c>
      <c r="H111" s="13">
        <f>H11+H29*H38/H136</f>
        <v>24016864.241348714</v>
      </c>
      <c r="I111" s="13">
        <f>I11+I29*I38/I136</f>
        <v>23506000</v>
      </c>
    </row>
    <row r="112" spans="1:9" x14ac:dyDescent="0.25">
      <c r="A112">
        <f>A111+1</f>
        <v>1970</v>
      </c>
      <c r="B112" s="13">
        <f>B12+B30*B39/B137</f>
        <v>3760482.3375133406</v>
      </c>
      <c r="C112" s="13">
        <f>C12+C30*C39/C137</f>
        <v>15830499.962620556</v>
      </c>
      <c r="D112" s="13">
        <f>D12+D30*D39/D137</f>
        <v>24615996.184157353</v>
      </c>
      <c r="E112" s="13">
        <f>E12+E30*E39/E137</f>
        <v>33169801.781319026</v>
      </c>
      <c r="F112" s="13">
        <f>F12+F30*F39/F137</f>
        <v>30722141.016819481</v>
      </c>
      <c r="G112" s="13">
        <f>G12+G30*G39/G137</f>
        <v>33362728.919631097</v>
      </c>
      <c r="H112" s="13">
        <f>H12+H30*H39/H137</f>
        <v>32216000</v>
      </c>
      <c r="I112" s="13"/>
    </row>
    <row r="113" spans="1:10" x14ac:dyDescent="0.25">
      <c r="A113">
        <f t="shared" ref="A113:A118" si="18">A112+1</f>
        <v>1971</v>
      </c>
      <c r="B113" s="13">
        <f>B13+B31*B40/B138</f>
        <v>5982184.7214957885</v>
      </c>
      <c r="C113" s="13">
        <f>C13+C31*C40/C138</f>
        <v>25583831.209896684</v>
      </c>
      <c r="D113" s="13">
        <f>D13+D31*D40/D138</f>
        <v>41384824.588566795</v>
      </c>
      <c r="E113" s="13">
        <f>E13+E31*E40/E138</f>
        <v>50323341.900208779</v>
      </c>
      <c r="F113" s="13">
        <f>F13+F31*F40/F138</f>
        <v>46191355.596183516</v>
      </c>
      <c r="G113" s="13">
        <f>G13+G31*G40/G138</f>
        <v>48377000</v>
      </c>
      <c r="H113" s="13"/>
      <c r="I113" s="13"/>
    </row>
    <row r="114" spans="1:10" x14ac:dyDescent="0.25">
      <c r="A114">
        <f t="shared" si="18"/>
        <v>1972</v>
      </c>
      <c r="B114" s="13">
        <f>B14+B32*B41/B139</f>
        <v>7819355.0275605051</v>
      </c>
      <c r="C114" s="13">
        <f>C14+C32*C41/C139</f>
        <v>33794109.51576075</v>
      </c>
      <c r="D114" s="13">
        <f>D14+D32*D41/D139</f>
        <v>51361060.726793669</v>
      </c>
      <c r="E114" s="13">
        <f>E14+E32*E41/E139</f>
        <v>64559285.654721923</v>
      </c>
      <c r="F114" s="13">
        <f>F14+F32*F41/F139</f>
        <v>61163000</v>
      </c>
      <c r="G114" s="13"/>
      <c r="H114" s="13"/>
      <c r="I114" s="13"/>
    </row>
    <row r="115" spans="1:10" x14ac:dyDescent="0.25">
      <c r="A115">
        <f t="shared" si="18"/>
        <v>1973</v>
      </c>
      <c r="B115" s="13">
        <f>B15+B33*B42/B140</f>
        <v>9533246.4146535993</v>
      </c>
      <c r="C115" s="13">
        <f>C15+C33*C42/C140</f>
        <v>34585430.755321778</v>
      </c>
      <c r="D115" s="13">
        <f>D15+D33*D42/D140</f>
        <v>49667341.655991018</v>
      </c>
      <c r="E115" s="13">
        <f>E15+E33*E42/E140</f>
        <v>73733000</v>
      </c>
      <c r="F115" s="13"/>
      <c r="G115" s="13"/>
      <c r="H115" s="13"/>
      <c r="I115" s="13"/>
    </row>
    <row r="116" spans="1:10" x14ac:dyDescent="0.25">
      <c r="A116">
        <f t="shared" si="18"/>
        <v>1974</v>
      </c>
      <c r="B116" s="13">
        <f>B16+B34*B43/B141</f>
        <v>10348458.389970349</v>
      </c>
      <c r="C116" s="13">
        <f>C16+C34*C43/C141</f>
        <v>41241242.674858227</v>
      </c>
      <c r="D116" s="13">
        <f>D16+D34*D43/D141</f>
        <v>63477000.000000007</v>
      </c>
      <c r="E116" s="13"/>
      <c r="F116" s="13"/>
      <c r="G116" s="13"/>
      <c r="H116" s="13"/>
      <c r="I116" s="13"/>
    </row>
    <row r="117" spans="1:10" x14ac:dyDescent="0.25">
      <c r="A117">
        <f t="shared" si="18"/>
        <v>1975</v>
      </c>
      <c r="B117" s="13">
        <f>B17+B35*B44/B142</f>
        <v>13102479.278755274</v>
      </c>
      <c r="C117" s="13">
        <f>C17+C35*C44/C142</f>
        <v>48904000</v>
      </c>
      <c r="D117" s="13"/>
      <c r="E117" s="13"/>
      <c r="F117" s="13"/>
      <c r="G117" s="13"/>
      <c r="H117" s="13"/>
      <c r="I117" s="13"/>
    </row>
    <row r="118" spans="1:10" x14ac:dyDescent="0.25">
      <c r="A118">
        <f t="shared" si="18"/>
        <v>1976</v>
      </c>
      <c r="B118" s="13">
        <f>B18+B36*B45/B143</f>
        <v>15791000</v>
      </c>
      <c r="C118" s="13"/>
      <c r="D118" s="13"/>
      <c r="E118" s="13"/>
      <c r="F118" s="13"/>
      <c r="G118" s="13"/>
      <c r="H118" s="13"/>
      <c r="I118" s="13"/>
    </row>
    <row r="126" spans="1:10" x14ac:dyDescent="0.25">
      <c r="A126" cm="1">
        <f t="array" ref="A126:A133">$A$2:$A$9</f>
        <v>1969</v>
      </c>
      <c r="B126" s="13">
        <f>IFERROR(B38*B67,"NA")</f>
        <v>9844.5595576226569</v>
      </c>
      <c r="C126" s="13">
        <f>IFERROR(C38*C67,"NA")</f>
        <v>13090.822475930054</v>
      </c>
      <c r="D126" s="13">
        <f>IFERROR(D38*D67,"NA")</f>
        <v>18628.663821491002</v>
      </c>
      <c r="E126" s="13">
        <f>IFERROR(E38*E67,"NA")</f>
        <v>17754.008716832501</v>
      </c>
      <c r="F126" s="13">
        <f>IFERROR(F38*F67,"NA")</f>
        <v>17862.191489361696</v>
      </c>
      <c r="G126" s="13">
        <f>IFERROR(G38*G67,"NA")</f>
        <v>21989.803921568626</v>
      </c>
      <c r="H126" s="13">
        <f>IFERROR(H38*H67,"NA")</f>
        <v>22124.015009380862</v>
      </c>
      <c r="I126" s="13">
        <f>IFERROR(I38*I67,"NA")</f>
        <v>21423.398328690808</v>
      </c>
      <c r="J126" t="s">
        <v>6</v>
      </c>
    </row>
    <row r="127" spans="1:10" x14ac:dyDescent="0.25">
      <c r="A127">
        <v>1970</v>
      </c>
      <c r="B127" s="13">
        <f>IFERROR(B39*B68,"NA")</f>
        <v>16769.690550781244</v>
      </c>
      <c r="C127" s="13">
        <f>IFERROR(C39*C68,"NA")</f>
        <v>21391.42471721525</v>
      </c>
      <c r="D127" s="13">
        <f>IFERROR(D39*D68,"NA")</f>
        <v>22667.060112053954</v>
      </c>
      <c r="E127" s="13">
        <f>IFERROR(E39*E68,"NA")</f>
        <v>21629.095648148141</v>
      </c>
      <c r="F127" s="13">
        <f>IFERROR(F39*F68,"NA")</f>
        <v>22570.666666666664</v>
      </c>
      <c r="G127" s="13">
        <f>IFERROR(G39*G68,"NA")</f>
        <v>26922.185430463574</v>
      </c>
      <c r="H127" s="13">
        <f>IFERROR(H39*H68,"NA")</f>
        <v>24551.020408163266</v>
      </c>
      <c r="I127" s="13" t="str">
        <f>IFERROR(I39*I68,"NA")</f>
        <v>NA</v>
      </c>
      <c r="J127" t="s">
        <v>6</v>
      </c>
    </row>
    <row r="128" spans="1:10" x14ac:dyDescent="0.25">
      <c r="A128">
        <v>1971</v>
      </c>
      <c r="B128" s="13">
        <f>IFERROR(B40*B69,"NA")</f>
        <v>11820.732445899768</v>
      </c>
      <c r="C128" s="13">
        <f>IFERROR(C40*C69,"NA")</f>
        <v>14205.247150112862</v>
      </c>
      <c r="D128" s="13">
        <f>IFERROR(D40*D69,"NA")</f>
        <v>16140.728052325576</v>
      </c>
      <c r="E128" s="13">
        <f>IFERROR(E40*E69,"NA")</f>
        <v>19008.272651473038</v>
      </c>
      <c r="F128" s="13">
        <f>IFERROR(F40*F69,"NA")</f>
        <v>24961.76470588235</v>
      </c>
      <c r="G128" s="13">
        <f>IFERROR(G40*G69,"NA")</f>
        <v>29043.560606060608</v>
      </c>
      <c r="H128" s="13" t="str">
        <f>IFERROR(H40*H69,"NA")</f>
        <v>NA</v>
      </c>
      <c r="I128" s="13" t="str">
        <f>IFERROR(I40*I69,"NA")</f>
        <v>NA</v>
      </c>
      <c r="J128" t="s">
        <v>6</v>
      </c>
    </row>
    <row r="129" spans="1:10" x14ac:dyDescent="0.25">
      <c r="A129">
        <v>1972</v>
      </c>
      <c r="B129" s="13">
        <f>IFERROR(B41*B70,"NA")</f>
        <v>14558.842054170656</v>
      </c>
      <c r="C129" s="13">
        <f>IFERROR(C41*C70,"NA")</f>
        <v>17388.248638693141</v>
      </c>
      <c r="D129" s="13">
        <f>IFERROR(D41*D70,"NA")</f>
        <v>20498.026531728661</v>
      </c>
      <c r="E129" s="13">
        <f>IFERROR(E41*E70,"NA")</f>
        <v>28795.53854276663</v>
      </c>
      <c r="F129" s="13">
        <f>IFERROR(F41*F70,"NA")</f>
        <v>28019.05387647832</v>
      </c>
      <c r="G129" s="13" t="str">
        <f>IFERROR(G41*G70,"NA")</f>
        <v>NA</v>
      </c>
      <c r="H129" s="13" t="str">
        <f>IFERROR(H41*H70,"NA")</f>
        <v>NA</v>
      </c>
      <c r="I129" s="13" t="str">
        <f>IFERROR(I41*I70,"NA")</f>
        <v>NA</v>
      </c>
      <c r="J129" t="s">
        <v>6</v>
      </c>
    </row>
    <row r="130" spans="1:10" x14ac:dyDescent="0.25">
      <c r="A130">
        <v>1973</v>
      </c>
      <c r="B130" s="13">
        <f>IFERROR(B42*B71,"NA")</f>
        <v>15397.461511948524</v>
      </c>
      <c r="C130" s="13">
        <f>IFERROR(C42*C71,"NA")</f>
        <v>18231.062680115272</v>
      </c>
      <c r="D130" s="13">
        <f>IFERROR(D42*D71,"NA")</f>
        <v>34756.883116883109</v>
      </c>
      <c r="E130" s="13">
        <f>IFERROR(E42*E71,"NA")</f>
        <v>33266.382525306341</v>
      </c>
      <c r="F130" s="13" t="str">
        <f>IFERROR(F42*F71,"NA")</f>
        <v>NA</v>
      </c>
      <c r="G130" s="13" t="str">
        <f>IFERROR(G42*G71,"NA")</f>
        <v>NA</v>
      </c>
      <c r="H130" s="13" t="str">
        <f>IFERROR(H42*H71,"NA")</f>
        <v>NA</v>
      </c>
      <c r="I130" s="13" t="str">
        <f>IFERROR(I42*I71,"NA")</f>
        <v>NA</v>
      </c>
      <c r="J130" t="s">
        <v>6</v>
      </c>
    </row>
    <row r="131" spans="1:10" x14ac:dyDescent="0.25">
      <c r="A131">
        <v>1974</v>
      </c>
      <c r="B131" s="13">
        <f>IFERROR(B43*B72,"NA")</f>
        <v>10925.667957405612</v>
      </c>
      <c r="C131" s="13">
        <f>IFERROR(C43*C72,"NA")</f>
        <v>25848.236953455569</v>
      </c>
      <c r="D131" s="13">
        <f>IFERROR(D43*D72,"NA")</f>
        <v>34401.683704149131</v>
      </c>
      <c r="E131" s="13" t="str">
        <f>IFERROR(E43*E72,"NA")</f>
        <v>NA</v>
      </c>
      <c r="F131" s="13" t="str">
        <f>IFERROR(F43*F72,"NA")</f>
        <v>NA</v>
      </c>
      <c r="G131" s="13" t="str">
        <f>IFERROR(G43*G72,"NA")</f>
        <v>NA</v>
      </c>
      <c r="H131" s="13" t="str">
        <f>IFERROR(H43*H72,"NA")</f>
        <v>NA</v>
      </c>
      <c r="I131" s="13" t="str">
        <f>IFERROR(I43*I72,"NA")</f>
        <v>NA</v>
      </c>
      <c r="J131" t="s">
        <v>6</v>
      </c>
    </row>
    <row r="132" spans="1:10" x14ac:dyDescent="0.25">
      <c r="A132">
        <v>1975</v>
      </c>
      <c r="B132" s="13">
        <f>IFERROR(B44*B73,"NA")</f>
        <v>12852.108963093144</v>
      </c>
      <c r="C132" s="13">
        <f>IFERROR(C44*C73,"NA")</f>
        <v>32159.646739130436</v>
      </c>
      <c r="D132" s="13" t="str">
        <f>IFERROR(D44*D73,"NA")</f>
        <v>NA</v>
      </c>
      <c r="E132" s="13" t="str">
        <f>IFERROR(E44*E73,"NA")</f>
        <v>NA</v>
      </c>
      <c r="F132" s="13" t="str">
        <f>IFERROR(F44*F73,"NA")</f>
        <v>NA</v>
      </c>
      <c r="G132" s="13" t="str">
        <f>IFERROR(G44*G73,"NA")</f>
        <v>NA</v>
      </c>
      <c r="H132" s="13" t="str">
        <f>IFERROR(H44*H73,"NA")</f>
        <v>NA</v>
      </c>
      <c r="I132" s="13" t="str">
        <f>IFERROR(I44*I73,"NA")</f>
        <v>NA</v>
      </c>
      <c r="J132" t="s">
        <v>6</v>
      </c>
    </row>
    <row r="133" spans="1:10" x14ac:dyDescent="0.25">
      <c r="A133">
        <v>1976</v>
      </c>
      <c r="B133" s="13">
        <f>IFERROR(B45*B74,"NA")</f>
        <v>13028.428093645485</v>
      </c>
      <c r="C133" s="13" t="str">
        <f>IFERROR(C45*C74,"NA")</f>
        <v>NA</v>
      </c>
      <c r="D133" s="13" t="str">
        <f>IFERROR(D45*D74,"NA")</f>
        <v>NA</v>
      </c>
      <c r="E133" s="13" t="str">
        <f>IFERROR(E45*E74,"NA")</f>
        <v>NA</v>
      </c>
      <c r="F133" s="13" t="str">
        <f>IFERROR(F45*F74,"NA")</f>
        <v>NA</v>
      </c>
      <c r="G133" s="13" t="str">
        <f>IFERROR(G45*G74,"NA")</f>
        <v>NA</v>
      </c>
      <c r="H133" s="13" t="str">
        <f>IFERROR(H45*H74,"NA")</f>
        <v>NA</v>
      </c>
      <c r="I133" s="13" t="str">
        <f>IFERROR(I45*I74,"NA")</f>
        <v>NA</v>
      </c>
      <c r="J133" t="s">
        <v>6</v>
      </c>
    </row>
    <row r="136" spans="1:10" x14ac:dyDescent="0.25">
      <c r="A136" cm="1">
        <f t="array" ref="A136:A143">$A$2:$A$9</f>
        <v>1969</v>
      </c>
      <c r="B136" s="12">
        <f>IFERROR(B126/B$46,"NA")</f>
        <v>0.75562143697321893</v>
      </c>
      <c r="C136" s="12">
        <f t="shared" ref="C136:I136" si="19">IFERROR(C126/C$46,"NA")</f>
        <v>0.40705740899826864</v>
      </c>
      <c r="D136" s="12">
        <f t="shared" si="19"/>
        <v>0.54150442117006703</v>
      </c>
      <c r="E136" s="12">
        <f t="shared" si="19"/>
        <v>0.53369219521619771</v>
      </c>
      <c r="F136" s="12">
        <f t="shared" si="19"/>
        <v>0.63750159331242817</v>
      </c>
      <c r="G136" s="12">
        <f t="shared" si="19"/>
        <v>0.75713182071002505</v>
      </c>
      <c r="H136" s="17">
        <f t="shared" si="19"/>
        <v>0.90114441850345994</v>
      </c>
      <c r="I136" s="12">
        <f t="shared" si="19"/>
        <v>1</v>
      </c>
      <c r="J136" t="s">
        <v>7</v>
      </c>
    </row>
    <row r="137" spans="1:10" x14ac:dyDescent="0.25">
      <c r="A137">
        <v>1970</v>
      </c>
      <c r="B137" s="12">
        <f t="shared" ref="B137:I143" si="20">IFERROR(B127/B$46,"NA")</f>
        <v>1.2871614618620439</v>
      </c>
      <c r="C137" s="12">
        <f t="shared" si="20"/>
        <v>0.66516354768247843</v>
      </c>
      <c r="D137" s="12">
        <f t="shared" si="20"/>
        <v>0.65889391655909324</v>
      </c>
      <c r="E137" s="12">
        <f t="shared" si="20"/>
        <v>0.65017876926336959</v>
      </c>
      <c r="F137" s="12">
        <f t="shared" si="20"/>
        <v>0.80554706686989475</v>
      </c>
      <c r="G137" s="17">
        <f t="shared" si="20"/>
        <v>0.92695884625267466</v>
      </c>
      <c r="H137" s="12">
        <f t="shared" si="20"/>
        <v>1</v>
      </c>
      <c r="I137" s="12" t="str">
        <f t="shared" si="20"/>
        <v>NA</v>
      </c>
      <c r="J137" t="s">
        <v>7</v>
      </c>
    </row>
    <row r="138" spans="1:10" x14ac:dyDescent="0.25">
      <c r="A138">
        <v>1971</v>
      </c>
      <c r="B138" s="12">
        <f t="shared" si="20"/>
        <v>0.9073030423113928</v>
      </c>
      <c r="C138" s="12">
        <f t="shared" si="20"/>
        <v>0.44171029816781371</v>
      </c>
      <c r="D138" s="12">
        <f t="shared" si="20"/>
        <v>0.46918424665298775</v>
      </c>
      <c r="E138" s="12">
        <f t="shared" si="20"/>
        <v>0.5713958419438333</v>
      </c>
      <c r="F138" s="17">
        <f t="shared" si="20"/>
        <v>0.89088535308601091</v>
      </c>
      <c r="G138" s="12">
        <f t="shared" si="20"/>
        <v>1</v>
      </c>
      <c r="H138" s="12" t="str">
        <f t="shared" si="20"/>
        <v>NA</v>
      </c>
      <c r="I138" s="12" t="str">
        <f t="shared" si="20"/>
        <v>NA</v>
      </c>
      <c r="J138" t="s">
        <v>7</v>
      </c>
    </row>
    <row r="139" spans="1:10" x14ac:dyDescent="0.25">
      <c r="A139">
        <v>1972</v>
      </c>
      <c r="B139" s="12">
        <f t="shared" si="20"/>
        <v>1.1174672761383715</v>
      </c>
      <c r="C139" s="12">
        <f t="shared" si="20"/>
        <v>0.54068531224056915</v>
      </c>
      <c r="D139" s="12">
        <f t="shared" si="20"/>
        <v>0.59584370079120363</v>
      </c>
      <c r="E139" s="17">
        <f t="shared" si="20"/>
        <v>0.8656047443950764</v>
      </c>
      <c r="F139" s="12">
        <f t="shared" si="20"/>
        <v>1</v>
      </c>
      <c r="G139" s="12" t="str">
        <f t="shared" si="20"/>
        <v>NA</v>
      </c>
      <c r="H139" s="12" t="str">
        <f t="shared" si="20"/>
        <v>NA</v>
      </c>
      <c r="I139" s="12" t="str">
        <f t="shared" si="20"/>
        <v>NA</v>
      </c>
      <c r="J139" t="s">
        <v>7</v>
      </c>
    </row>
    <row r="140" spans="1:10" x14ac:dyDescent="0.25">
      <c r="A140">
        <v>1973</v>
      </c>
      <c r="B140" s="12">
        <f t="shared" si="20"/>
        <v>1.1818357058330404</v>
      </c>
      <c r="C140" s="12">
        <f t="shared" si="20"/>
        <v>0.56689250438601746</v>
      </c>
      <c r="D140" s="17">
        <f t="shared" si="20"/>
        <v>1.010325058964807</v>
      </c>
      <c r="E140" s="12">
        <f t="shared" si="20"/>
        <v>1</v>
      </c>
      <c r="F140" s="12" t="str">
        <f t="shared" si="20"/>
        <v>NA</v>
      </c>
      <c r="G140" s="12" t="str">
        <f t="shared" si="20"/>
        <v>NA</v>
      </c>
      <c r="H140" s="12" t="str">
        <f t="shared" si="20"/>
        <v>NA</v>
      </c>
      <c r="I140" s="12" t="str">
        <f t="shared" si="20"/>
        <v>NA</v>
      </c>
      <c r="J140" t="s">
        <v>7</v>
      </c>
    </row>
    <row r="141" spans="1:10" x14ac:dyDescent="0.25">
      <c r="A141">
        <v>1974</v>
      </c>
      <c r="B141" s="12">
        <f t="shared" si="20"/>
        <v>0.83860216127949638</v>
      </c>
      <c r="C141" s="17">
        <f t="shared" si="20"/>
        <v>0.80374753998788728</v>
      </c>
      <c r="D141" s="12">
        <f t="shared" si="20"/>
        <v>1</v>
      </c>
      <c r="E141" s="12" t="str">
        <f t="shared" si="20"/>
        <v>NA</v>
      </c>
      <c r="F141" s="12" t="str">
        <f t="shared" si="20"/>
        <v>NA</v>
      </c>
      <c r="G141" s="12" t="str">
        <f t="shared" si="20"/>
        <v>NA</v>
      </c>
      <c r="H141" s="12" t="str">
        <f t="shared" si="20"/>
        <v>NA</v>
      </c>
      <c r="I141" s="12" t="str">
        <f t="shared" si="20"/>
        <v>NA</v>
      </c>
      <c r="J141" t="s">
        <v>7</v>
      </c>
    </row>
    <row r="142" spans="1:10" x14ac:dyDescent="0.25">
      <c r="A142">
        <v>1975</v>
      </c>
      <c r="B142" s="17">
        <f t="shared" si="20"/>
        <v>0.98646658451157743</v>
      </c>
      <c r="C142" s="12">
        <f t="shared" si="20"/>
        <v>1</v>
      </c>
      <c r="D142" s="12" t="str">
        <f t="shared" si="20"/>
        <v>NA</v>
      </c>
      <c r="E142" s="12" t="str">
        <f t="shared" si="20"/>
        <v>NA</v>
      </c>
      <c r="F142" s="12" t="str">
        <f t="shared" si="20"/>
        <v>NA</v>
      </c>
      <c r="G142" s="12" t="str">
        <f t="shared" si="20"/>
        <v>NA</v>
      </c>
      <c r="H142" s="12" t="str">
        <f t="shared" si="20"/>
        <v>NA</v>
      </c>
      <c r="I142" s="12" t="str">
        <f t="shared" si="20"/>
        <v>NA</v>
      </c>
      <c r="J142" t="s">
        <v>7</v>
      </c>
    </row>
    <row r="143" spans="1:10" x14ac:dyDescent="0.25">
      <c r="A143">
        <v>1976</v>
      </c>
      <c r="B143" s="12">
        <f t="shared" si="20"/>
        <v>1</v>
      </c>
      <c r="C143" s="12" t="str">
        <f t="shared" si="20"/>
        <v>NA</v>
      </c>
      <c r="D143" s="12" t="str">
        <f t="shared" si="20"/>
        <v>NA</v>
      </c>
      <c r="E143" s="12" t="str">
        <f t="shared" si="20"/>
        <v>NA</v>
      </c>
      <c r="F143" s="12" t="str">
        <f t="shared" si="20"/>
        <v>NA</v>
      </c>
      <c r="G143" s="12" t="str">
        <f t="shared" si="20"/>
        <v>NA</v>
      </c>
      <c r="H143" s="12" t="str">
        <f t="shared" si="20"/>
        <v>NA</v>
      </c>
      <c r="I143" s="12" t="str">
        <f t="shared" si="20"/>
        <v>NA</v>
      </c>
      <c r="J143" t="s">
        <v>7</v>
      </c>
    </row>
    <row r="179" spans="1:11" x14ac:dyDescent="0.25">
      <c r="A179" t="s">
        <v>22</v>
      </c>
    </row>
    <row r="180" spans="1:11" x14ac:dyDescent="0.25">
      <c r="A180" cm="1">
        <f t="array" ref="A180:A187">$A$2:$A$9</f>
        <v>1969</v>
      </c>
      <c r="B180" s="13">
        <f>IFERROR(B38/B136,"NA")</f>
        <v>4897.8686923759451</v>
      </c>
      <c r="C180" s="13">
        <f>IFERROR(C38/C136,"NA")</f>
        <v>13903.502760093186</v>
      </c>
      <c r="D180" s="13">
        <f>IFERROR(D38/D136,"NA")</f>
        <v>17103.716792793242</v>
      </c>
      <c r="E180" s="13">
        <f>IFERROR(E38/E136,"NA")</f>
        <v>19020.162177983271</v>
      </c>
      <c r="F180" s="13">
        <f>IFERROR(F38/F136,"NA")</f>
        <v>18422.982741170923</v>
      </c>
      <c r="G180" s="13">
        <f>IFERROR(G38/G136,"NA")</f>
        <v>21961.104428023147</v>
      </c>
      <c r="H180" s="13">
        <f>IFERROR(H38/H136,"NA")</f>
        <v>21348.713398402841</v>
      </c>
      <c r="I180" s="13">
        <f>IFERROR(I38/I136,"NA")</f>
        <v>21423.398328690808</v>
      </c>
    </row>
    <row r="181" spans="1:11" x14ac:dyDescent="0.25">
      <c r="A181">
        <v>1970</v>
      </c>
      <c r="B181" s="13">
        <f>IFERROR(B39/B137,"NA")</f>
        <v>5632.5489962323345</v>
      </c>
      <c r="C181" s="13">
        <f>IFERROR(C39/C137,"NA")</f>
        <v>15989.028174107165</v>
      </c>
      <c r="D181" s="13">
        <f>IFERROR(D39/D137,"NA")</f>
        <v>19669.27431171223</v>
      </c>
      <c r="E181" s="13">
        <f>IFERROR(E39/E137,"NA")</f>
        <v>21873.186504680762</v>
      </c>
      <c r="F181" s="13">
        <f>IFERROR(F39/F137,"NA")</f>
        <v>21186.430152346558</v>
      </c>
      <c r="G181" s="13">
        <f>IFERROR(G39/G137,"NA")</f>
        <v>25255.270092226619</v>
      </c>
      <c r="H181" s="13">
        <f>IFERROR(H39/H137,"NA")</f>
        <v>24551.020408163266</v>
      </c>
      <c r="I181" s="13" t="str">
        <f>IFERROR(I39/I137,"NA")</f>
        <v>NA</v>
      </c>
    </row>
    <row r="182" spans="1:11" x14ac:dyDescent="0.25">
      <c r="A182">
        <v>1971</v>
      </c>
      <c r="B182" s="13">
        <f>IFERROR(B40/B138,"NA")</f>
        <v>6477.4313456671844</v>
      </c>
      <c r="C182" s="13">
        <f>IFERROR(C40/C138,"NA")</f>
        <v>18387.382400223236</v>
      </c>
      <c r="D182" s="13">
        <f>IFERROR(D40/D138,"NA")</f>
        <v>22619.665458469066</v>
      </c>
      <c r="E182" s="13">
        <f>IFERROR(E40/E138,"NA")</f>
        <v>25154.164480382868</v>
      </c>
      <c r="F182" s="13">
        <f>IFERROR(F40/F138,"NA")</f>
        <v>24364.394675198539</v>
      </c>
      <c r="G182" s="13">
        <f>IFERROR(G40/G138,"NA")</f>
        <v>29043.560606060608</v>
      </c>
      <c r="H182" s="13" t="str">
        <f>IFERROR(H40/H138,"NA")</f>
        <v>NA</v>
      </c>
      <c r="I182" s="13" t="str">
        <f>IFERROR(I40/I138,"NA")</f>
        <v>NA</v>
      </c>
    </row>
    <row r="183" spans="1:11" x14ac:dyDescent="0.25">
      <c r="A183">
        <v>1972</v>
      </c>
      <c r="B183" s="13">
        <f>IFERROR(B41/B139,"NA")</f>
        <v>7449.0460475172622</v>
      </c>
      <c r="C183" s="13">
        <f>IFERROR(C41/C139,"NA")</f>
        <v>21145.489760256725</v>
      </c>
      <c r="D183" s="13">
        <f>IFERROR(D41/D139,"NA")</f>
        <v>26012.615277239423</v>
      </c>
      <c r="E183" s="13">
        <f>IFERROR(E41/E139,"NA")</f>
        <v>28927.289152440298</v>
      </c>
      <c r="F183" s="13">
        <f>IFERROR(F41/F139,"NA")</f>
        <v>28019.05387647832</v>
      </c>
      <c r="G183" s="13" t="str">
        <f>IFERROR(G41/G139,"NA")</f>
        <v>NA</v>
      </c>
      <c r="H183" s="13" t="str">
        <f>IFERROR(H41/H139,"NA")</f>
        <v>NA</v>
      </c>
      <c r="I183" s="13" t="str">
        <f>IFERROR(I41/I139,"NA")</f>
        <v>NA</v>
      </c>
    </row>
    <row r="184" spans="1:11" x14ac:dyDescent="0.25">
      <c r="A184">
        <v>1973</v>
      </c>
      <c r="B184" s="13">
        <f>IFERROR(B42/B140,"NA")</f>
        <v>8566.402954644851</v>
      </c>
      <c r="C184" s="13">
        <f>IFERROR(C42/C140,"NA")</f>
        <v>24317.313224295227</v>
      </c>
      <c r="D184" s="13">
        <f>IFERROR(D42/D140,"NA")</f>
        <v>29914.507568825335</v>
      </c>
      <c r="E184" s="13">
        <f>IFERROR(E42/E140,"NA")</f>
        <v>33266.382525306341</v>
      </c>
      <c r="F184" s="13" t="str">
        <f>IFERROR(F42/F140,"NA")</f>
        <v>NA</v>
      </c>
      <c r="G184" s="13" t="str">
        <f>IFERROR(G42/G140,"NA")</f>
        <v>NA</v>
      </c>
      <c r="H184" s="13" t="str">
        <f>IFERROR(H42/H140,"NA")</f>
        <v>NA</v>
      </c>
      <c r="I184" s="13" t="str">
        <f>IFERROR(I42/I140,"NA")</f>
        <v>NA</v>
      </c>
    </row>
    <row r="185" spans="1:11" x14ac:dyDescent="0.25">
      <c r="A185">
        <v>1974</v>
      </c>
      <c r="B185" s="13">
        <f>IFERROR(B43/B141,"NA")</f>
        <v>9851.3633978415783</v>
      </c>
      <c r="C185" s="13">
        <f>IFERROR(C43/C141,"NA")</f>
        <v>27964.910207939512</v>
      </c>
      <c r="D185" s="13">
        <f>IFERROR(D43/D141,"NA")</f>
        <v>34401.683704149131</v>
      </c>
      <c r="E185" s="13" t="str">
        <f>IFERROR(E43/E141,"NA")</f>
        <v>NA</v>
      </c>
      <c r="F185" s="13" t="str">
        <f>IFERROR(F43/F141,"NA")</f>
        <v>NA</v>
      </c>
      <c r="G185" s="13" t="str">
        <f>IFERROR(G43/G141,"NA")</f>
        <v>NA</v>
      </c>
      <c r="H185" s="13" t="str">
        <f>IFERROR(H43/H141,"NA")</f>
        <v>NA</v>
      </c>
      <c r="I185" s="13" t="str">
        <f>IFERROR(I43/I141,"NA")</f>
        <v>NA</v>
      </c>
    </row>
    <row r="186" spans="1:11" x14ac:dyDescent="0.25">
      <c r="A186">
        <v>1975</v>
      </c>
      <c r="B186" s="13">
        <f>IFERROR(B44/B142,"NA")</f>
        <v>11329.067907517814</v>
      </c>
      <c r="C186" s="13">
        <f>IFERROR(C44/C142,"NA")</f>
        <v>32159.646739130436</v>
      </c>
      <c r="D186" s="13" t="str">
        <f>IFERROR(D44/D142,"NA")</f>
        <v>NA</v>
      </c>
      <c r="E186" s="13" t="str">
        <f>IFERROR(E44/E142,"NA")</f>
        <v>NA</v>
      </c>
      <c r="F186" s="13" t="str">
        <f>IFERROR(F44/F142,"NA")</f>
        <v>NA</v>
      </c>
      <c r="G186" s="13" t="str">
        <f>IFERROR(G44/G142,"NA")</f>
        <v>NA</v>
      </c>
      <c r="H186" s="13" t="str">
        <f>IFERROR(H44/H142,"NA")</f>
        <v>NA</v>
      </c>
      <c r="I186" s="13" t="str">
        <f>IFERROR(I44/I142,"NA")</f>
        <v>NA</v>
      </c>
    </row>
    <row r="187" spans="1:11" x14ac:dyDescent="0.25">
      <c r="A187">
        <v>1976</v>
      </c>
      <c r="B187" s="13">
        <f>IFERROR(B45/B143,"NA")</f>
        <v>13028.428093645485</v>
      </c>
      <c r="C187" s="13" t="str">
        <f>IFERROR(C45/C143,"NA")</f>
        <v>NA</v>
      </c>
      <c r="D187" s="13" t="str">
        <f>IFERROR(D45/D143,"NA")</f>
        <v>NA</v>
      </c>
      <c r="E187" s="13" t="str">
        <f>IFERROR(E45/E143,"NA")</f>
        <v>NA</v>
      </c>
      <c r="F187" s="13" t="str">
        <f>IFERROR(F45/F143,"NA")</f>
        <v>NA</v>
      </c>
      <c r="G187" s="13" t="str">
        <f>IFERROR(G45/G143,"NA")</f>
        <v>NA</v>
      </c>
      <c r="H187" s="13" t="str">
        <f>IFERROR(H45/H143,"NA")</f>
        <v>NA</v>
      </c>
      <c r="I187" s="13" t="str">
        <f>IFERROR(I45/I143,"NA")</f>
        <v>NA</v>
      </c>
    </row>
    <row r="188" spans="1:11" x14ac:dyDescent="0.25">
      <c r="B188" s="13"/>
      <c r="C188" s="13"/>
      <c r="D188" s="13"/>
      <c r="E188" s="13"/>
      <c r="F188" s="13"/>
      <c r="G188" s="13"/>
      <c r="H188" s="13"/>
      <c r="I188" s="13"/>
    </row>
    <row r="189" spans="1:11" x14ac:dyDescent="0.25">
      <c r="A189" t="s">
        <v>19</v>
      </c>
      <c r="B189" s="13"/>
      <c r="C189" s="13"/>
      <c r="D189" s="13"/>
      <c r="E189" s="13"/>
      <c r="F189" s="13"/>
      <c r="G189" s="13"/>
      <c r="H189" s="13"/>
      <c r="I189" s="13"/>
    </row>
    <row r="190" spans="1:11" x14ac:dyDescent="0.25">
      <c r="A190" cm="1">
        <f t="array" ref="A190:A197">$A$2:$A$9</f>
        <v>1969</v>
      </c>
      <c r="B190" s="12">
        <f>IFERROR(B180/B38,"NA")</f>
        <v>1.3234140153642073</v>
      </c>
      <c r="C190" s="12">
        <f>IFERROR(C180/C38,"NA")</f>
        <v>2.4566559357337563</v>
      </c>
      <c r="D190" s="12">
        <f>IFERROR(D180/D38,"NA")</f>
        <v>1.8467069905712477</v>
      </c>
      <c r="E190" s="12">
        <f>IFERROR(E180/E38,"NA")</f>
        <v>1.8737392245260434</v>
      </c>
      <c r="F190" s="12">
        <f>IFERROR(F180/F38,"NA")</f>
        <v>1.568623530498249</v>
      </c>
      <c r="G190" s="12">
        <f>IFERROR(G180/G38,"NA")</f>
        <v>1.3207739691381846</v>
      </c>
      <c r="H190" s="12">
        <f>IFERROR(H180/H38,"NA")</f>
        <v>1.1097000430416144</v>
      </c>
      <c r="I190" s="12">
        <f>IFERROR(I180/I38,"NA")</f>
        <v>1</v>
      </c>
      <c r="K190" s="12">
        <f t="shared" ref="K190:K196" si="21">1/B190</f>
        <v>0.75562143697321893</v>
      </c>
    </row>
    <row r="191" spans="1:11" x14ac:dyDescent="0.25">
      <c r="A191">
        <v>1970</v>
      </c>
      <c r="B191" s="12">
        <f>IFERROR(B181/B39,"NA")</f>
        <v>0.77690330982514955</v>
      </c>
      <c r="C191" s="12">
        <f>IFERROR(C181/C39,"NA")</f>
        <v>1.5033896603085632</v>
      </c>
      <c r="D191" s="12">
        <f>IFERROR(D181/D39,"NA")</f>
        <v>1.5176949959141328</v>
      </c>
      <c r="E191" s="12">
        <f>IFERROR(E181/E39,"NA")</f>
        <v>1.5380385322839225</v>
      </c>
      <c r="F191" s="12">
        <f>IFERROR(F181/F39,"NA")</f>
        <v>1.2413923917390561</v>
      </c>
      <c r="G191" s="12">
        <f>IFERROR(G181/G39,"NA")</f>
        <v>1.0787965442506986</v>
      </c>
      <c r="H191" s="12">
        <f>IFERROR(H181/H39,"NA")</f>
        <v>1</v>
      </c>
      <c r="I191" s="12" t="str">
        <f>IFERROR(I181/I39,"NA")</f>
        <v>NA</v>
      </c>
      <c r="K191" s="12">
        <f t="shared" si="21"/>
        <v>1.2871614618620439</v>
      </c>
    </row>
    <row r="192" spans="1:11" x14ac:dyDescent="0.25">
      <c r="A192">
        <v>1971</v>
      </c>
      <c r="B192" s="12">
        <f>IFERROR(B182/B40,"NA")</f>
        <v>1.1021675816852303</v>
      </c>
      <c r="C192" s="12">
        <f>IFERROR(C182/C40,"NA")</f>
        <v>2.2639272938573911</v>
      </c>
      <c r="D192" s="12">
        <f>IFERROR(D182/D40,"NA")</f>
        <v>2.1313588577060805</v>
      </c>
      <c r="E192" s="12">
        <f>IFERROR(E182/E40,"NA")</f>
        <v>1.7501002397884045</v>
      </c>
      <c r="F192" s="12">
        <f>IFERROR(F182/F40,"NA")</f>
        <v>1.1224788874752716</v>
      </c>
      <c r="G192" s="12">
        <f>IFERROR(G182/G40,"NA")</f>
        <v>1</v>
      </c>
      <c r="H192" s="12" t="str">
        <f>IFERROR(H182/H40,"NA")</f>
        <v>NA</v>
      </c>
      <c r="I192" s="12" t="str">
        <f>IFERROR(I182/I40,"NA")</f>
        <v>NA</v>
      </c>
      <c r="K192" s="12">
        <f t="shared" si="21"/>
        <v>0.9073030423113928</v>
      </c>
    </row>
    <row r="193" spans="1:11" x14ac:dyDescent="0.25">
      <c r="A193">
        <v>1972</v>
      </c>
      <c r="B193" s="12">
        <f>IFERROR(B183/B41,"NA")</f>
        <v>0.89488079101134588</v>
      </c>
      <c r="C193" s="12">
        <f>IFERROR(C183/C41,"NA")</f>
        <v>1.8495046515246678</v>
      </c>
      <c r="D193" s="12">
        <f>IFERROR(D183/D41,"NA")</f>
        <v>1.6782924761512605</v>
      </c>
      <c r="E193" s="12">
        <f>IFERROR(E183/E41,"NA")</f>
        <v>1.1552616901364665</v>
      </c>
      <c r="F193" s="12">
        <f>IFERROR(F183/F41,"NA")</f>
        <v>1</v>
      </c>
      <c r="G193" s="12" t="str">
        <f>IFERROR(G183/G41,"NA")</f>
        <v>NA</v>
      </c>
      <c r="H193" s="12" t="str">
        <f>IFERROR(H183/H41,"NA")</f>
        <v>NA</v>
      </c>
      <c r="I193" s="12" t="str">
        <f>IFERROR(I183/I41,"NA")</f>
        <v>NA</v>
      </c>
      <c r="K193" s="12">
        <f t="shared" si="21"/>
        <v>1.1174672761383715</v>
      </c>
    </row>
    <row r="194" spans="1:11" x14ac:dyDescent="0.25">
      <c r="A194">
        <v>1973</v>
      </c>
      <c r="B194" s="12">
        <f>IFERROR(B184/B42,"NA")</f>
        <v>0.84614129956001805</v>
      </c>
      <c r="C194" s="12">
        <f>IFERROR(C184/C42,"NA")</f>
        <v>1.7640028616766894</v>
      </c>
      <c r="D194" s="12">
        <f>IFERROR(D184/D42,"NA")</f>
        <v>0.98978045840475715</v>
      </c>
      <c r="E194" s="12">
        <f>IFERROR(E184/E42,"NA")</f>
        <v>1</v>
      </c>
      <c r="F194" s="12" t="str">
        <f>IFERROR(F184/F42,"NA")</f>
        <v>NA</v>
      </c>
      <c r="G194" s="12" t="str">
        <f>IFERROR(G184/G42,"NA")</f>
        <v>NA</v>
      </c>
      <c r="H194" s="12" t="str">
        <f>IFERROR(H184/H42,"NA")</f>
        <v>NA</v>
      </c>
      <c r="I194" s="12" t="str">
        <f>IFERROR(I184/I42,"NA")</f>
        <v>NA</v>
      </c>
      <c r="K194" s="12">
        <f t="shared" si="21"/>
        <v>1.1818357058330404</v>
      </c>
    </row>
    <row r="195" spans="1:11" x14ac:dyDescent="0.25">
      <c r="A195">
        <v>1974</v>
      </c>
      <c r="B195" s="12">
        <f>IFERROR(B185/B43,"NA")</f>
        <v>1.1924605565936668</v>
      </c>
      <c r="C195" s="12">
        <f>IFERROR(C185/C43,"NA")</f>
        <v>1.2441717706720077</v>
      </c>
      <c r="D195" s="12">
        <f>IFERROR(D185/D43,"NA")</f>
        <v>1</v>
      </c>
      <c r="E195" s="12" t="str">
        <f>IFERROR(E185/E43,"NA")</f>
        <v>NA</v>
      </c>
      <c r="F195" s="12" t="str">
        <f>IFERROR(F185/F43,"NA")</f>
        <v>NA</v>
      </c>
      <c r="G195" s="12" t="str">
        <f>IFERROR(G185/G43,"NA")</f>
        <v>NA</v>
      </c>
      <c r="H195" s="12" t="str">
        <f>IFERROR(H185/H43,"NA")</f>
        <v>NA</v>
      </c>
      <c r="I195" s="12" t="str">
        <f>IFERROR(I185/I43,"NA")</f>
        <v>NA</v>
      </c>
      <c r="K195" s="12">
        <f t="shared" si="21"/>
        <v>0.83860216127949627</v>
      </c>
    </row>
    <row r="196" spans="1:11" x14ac:dyDescent="0.25">
      <c r="A196">
        <v>1975</v>
      </c>
      <c r="B196" s="12">
        <f>IFERROR(B186/B44,"NA")</f>
        <v>1.0137190815187351</v>
      </c>
      <c r="C196" s="12">
        <f>IFERROR(C186/C44,"NA")</f>
        <v>1</v>
      </c>
      <c r="D196" s="12" t="str">
        <f>IFERROR(D186/D44,"NA")</f>
        <v>NA</v>
      </c>
      <c r="E196" s="12" t="str">
        <f>IFERROR(E186/E44,"NA")</f>
        <v>NA</v>
      </c>
      <c r="F196" s="12" t="str">
        <f>IFERROR(F186/F44,"NA")</f>
        <v>NA</v>
      </c>
      <c r="G196" s="12" t="str">
        <f>IFERROR(G186/G44,"NA")</f>
        <v>NA</v>
      </c>
      <c r="H196" s="12" t="str">
        <f>IFERROR(H186/H44,"NA")</f>
        <v>NA</v>
      </c>
      <c r="I196" s="12" t="str">
        <f>IFERROR(I186/I44,"NA")</f>
        <v>NA</v>
      </c>
      <c r="K196" s="12">
        <f t="shared" si="21"/>
        <v>0.98646658451157743</v>
      </c>
    </row>
    <row r="197" spans="1:11" x14ac:dyDescent="0.25">
      <c r="A197">
        <v>1976</v>
      </c>
      <c r="B197" s="12">
        <f>IFERROR(B187/B45,"NA")</f>
        <v>1</v>
      </c>
      <c r="C197" s="12" t="str">
        <f>IFERROR(C187/C45,"NA")</f>
        <v>NA</v>
      </c>
      <c r="D197" s="12" t="str">
        <f>IFERROR(D187/D45,"NA")</f>
        <v>NA</v>
      </c>
      <c r="E197" s="12" t="str">
        <f>IFERROR(E187/E45,"NA")</f>
        <v>NA</v>
      </c>
      <c r="F197" s="12" t="str">
        <f>IFERROR(F187/F45,"NA")</f>
        <v>NA</v>
      </c>
      <c r="G197" s="12" t="str">
        <f>IFERROR(G187/G45,"NA")</f>
        <v>NA</v>
      </c>
      <c r="H197" s="12" t="str">
        <f>IFERROR(H187/H45,"NA")</f>
        <v>NA</v>
      </c>
      <c r="I197" s="12" t="str">
        <f>IFERROR(I187/I45,"NA")</f>
        <v>NA</v>
      </c>
      <c r="K197" s="12">
        <f>1/B197</f>
        <v>1</v>
      </c>
    </row>
    <row r="198" spans="1:11" x14ac:dyDescent="0.25">
      <c r="B198" s="12"/>
      <c r="C198" s="12"/>
      <c r="D198" s="12"/>
      <c r="E198" s="12"/>
      <c r="F198" s="12"/>
      <c r="G198" s="12"/>
      <c r="H198" s="12"/>
      <c r="I198" s="12"/>
      <c r="K198" s="12"/>
    </row>
    <row r="199" spans="1:11" x14ac:dyDescent="0.25">
      <c r="A199" t="s">
        <v>20</v>
      </c>
      <c r="B199" s="12"/>
      <c r="C199" s="12"/>
      <c r="D199" s="12"/>
      <c r="E199" s="12"/>
      <c r="F199" s="12"/>
      <c r="G199" s="12"/>
      <c r="H199" s="12"/>
      <c r="I199" s="12"/>
      <c r="K199" s="12"/>
    </row>
    <row r="200" spans="1:11" x14ac:dyDescent="0.25">
      <c r="A200" cm="1">
        <f t="array" ref="A200:A207">$A$2:$A$9</f>
        <v>1969</v>
      </c>
      <c r="B200" s="12">
        <f>IFERROR(B38/B$46,"NA")</f>
        <v>0.28406608631814567</v>
      </c>
      <c r="C200" s="12">
        <f>IFERROR(C38/C$46,"NA")</f>
        <v>0.17598215103020864</v>
      </c>
      <c r="D200" s="19">
        <f>IFERROR(D38/D$46,"NA")</f>
        <v>0.2692234002669241</v>
      </c>
      <c r="E200" s="19">
        <f>IFERROR(E38/E$46,"NA")</f>
        <v>0.30514024476253182</v>
      </c>
      <c r="F200" s="19">
        <f>IFERROR(F38/F$46,"NA")</f>
        <v>0.41916764580417742</v>
      </c>
      <c r="G200" s="19">
        <f>IFERROR(G38/G$46,"NA")</f>
        <v>0.57250043153877139</v>
      </c>
      <c r="H200" s="18">
        <f>IFERROR(H38/H$46,"NA")</f>
        <v>0.78360384217692169</v>
      </c>
      <c r="I200" s="12">
        <f>IFERROR(I38/I$46,"NA")</f>
        <v>1</v>
      </c>
      <c r="K200" s="12"/>
    </row>
    <row r="201" spans="1:11" x14ac:dyDescent="0.25">
      <c r="A201">
        <v>1970</v>
      </c>
      <c r="B201" s="12">
        <f>IFERROR(B39/B$46,"NA")</f>
        <v>0.55647542035682196</v>
      </c>
      <c r="C201" s="19">
        <f>IFERROR(C39/C$46,"NA")</f>
        <v>0.33070384107620299</v>
      </c>
      <c r="D201" s="19">
        <f>IFERROR(D39/D$46,"NA")</f>
        <v>0.37672473529416683</v>
      </c>
      <c r="E201" s="19">
        <f>IFERROR(E39/E$46,"NA")</f>
        <v>0.42750309477331788</v>
      </c>
      <c r="F201" s="19">
        <f>IFERROR(F39/F$46,"NA")</f>
        <v>0.60910931332317197</v>
      </c>
      <c r="G201" s="18">
        <f>IFERROR(G39/G$46,"NA")</f>
        <v>0.80605117065449983</v>
      </c>
      <c r="H201" s="12">
        <f>IFERROR(H39/H$46,"NA")</f>
        <v>1</v>
      </c>
      <c r="I201" s="12" t="str">
        <f>IFERROR(I39/I$46,"NA")</f>
        <v>NA</v>
      </c>
      <c r="K201" s="12"/>
    </row>
    <row r="202" spans="1:11" x14ac:dyDescent="0.25">
      <c r="A202">
        <v>1971</v>
      </c>
      <c r="B202" s="19">
        <f>IFERROR(B40/B$46,"NA")</f>
        <v>0.45108996450258443</v>
      </c>
      <c r="C202" s="19">
        <f>IFERROR(C40/C$46,"NA")</f>
        <v>0.25254929658931397</v>
      </c>
      <c r="D202" s="19">
        <f>IFERROR(D40/D$46,"NA")</f>
        <v>0.30849625817571324</v>
      </c>
      <c r="E202" s="19">
        <f>IFERROR(E40/E$46,"NA")</f>
        <v>0.43205734740554508</v>
      </c>
      <c r="F202" s="18">
        <f>IFERROR(F40/F$46,"NA")</f>
        <v>0.77468291572696601</v>
      </c>
      <c r="G202" s="12">
        <f>IFERROR(G40/G$46,"NA")</f>
        <v>1</v>
      </c>
      <c r="H202" s="12" t="str">
        <f>IFERROR(H40/H$46,"NA")</f>
        <v>NA</v>
      </c>
      <c r="I202" s="12" t="str">
        <f>IFERROR(I40/I$46,"NA")</f>
        <v>NA</v>
      </c>
      <c r="K202" s="12"/>
    </row>
    <row r="203" spans="1:11" x14ac:dyDescent="0.25">
      <c r="A203">
        <v>1972</v>
      </c>
      <c r="B203" s="19">
        <f>IFERROR(B41/B$46,"NA")</f>
        <v>0.63891554197612033</v>
      </c>
      <c r="C203" s="19">
        <f>IFERROR(C41/C$46,"NA")</f>
        <v>0.35550936943573225</v>
      </c>
      <c r="D203" s="19">
        <f>IFERROR(D41/D$46,"NA")</f>
        <v>0.45054344105194993</v>
      </c>
      <c r="E203" s="18">
        <f>IFERROR(E41/E$46,"NA")</f>
        <v>0.75269977773484908</v>
      </c>
      <c r="F203" s="12">
        <f>IFERROR(F41/F$46,"NA")</f>
        <v>1</v>
      </c>
      <c r="G203" s="12" t="str">
        <f>IFERROR(G41/G$46,"NA")</f>
        <v>NA</v>
      </c>
      <c r="H203" s="12" t="str">
        <f>IFERROR(H41/H$46,"NA")</f>
        <v>NA</v>
      </c>
      <c r="I203" s="12" t="str">
        <f>IFERROR(I41/I$46,"NA")</f>
        <v>NA</v>
      </c>
      <c r="K203" s="12"/>
    </row>
    <row r="204" spans="1:11" x14ac:dyDescent="0.25">
      <c r="A204">
        <v>1973</v>
      </c>
      <c r="B204" s="19">
        <f>IFERROR(B42/B$46,"NA")</f>
        <v>0.77707616065294038</v>
      </c>
      <c r="C204" s="19">
        <f>IFERROR(C42/C$46,"NA")</f>
        <v>0.42865217722950283</v>
      </c>
      <c r="D204" s="18">
        <f>IFERROR(D42/D$46,"NA")</f>
        <v>0.8785435295346149</v>
      </c>
      <c r="E204" s="12">
        <f>IFERROR(E42/E$46,"NA")</f>
        <v>1</v>
      </c>
      <c r="F204" s="12" t="str">
        <f>IFERROR(F42/F$46,"NA")</f>
        <v>NA</v>
      </c>
      <c r="G204" s="12" t="str">
        <f>IFERROR(G42/G$46,"NA")</f>
        <v>NA</v>
      </c>
      <c r="H204" s="12" t="str">
        <f>IFERROR(H42/H$46,"NA")</f>
        <v>NA</v>
      </c>
      <c r="I204" s="12" t="str">
        <f>IFERROR(I42/I$46,"NA")</f>
        <v>NA</v>
      </c>
      <c r="K204" s="12"/>
    </row>
    <row r="205" spans="1:11" x14ac:dyDescent="0.25">
      <c r="A205">
        <v>1974</v>
      </c>
      <c r="B205" s="19">
        <f>IFERROR(B43/B$46,"NA")</f>
        <v>0.63410371363288953</v>
      </c>
      <c r="C205" s="18">
        <f>IFERROR(C43/C$46,"NA")</f>
        <v>0.69891090433729341</v>
      </c>
      <c r="D205" s="12">
        <f>IFERROR(D43/D$46,"NA")</f>
        <v>1</v>
      </c>
      <c r="E205" s="12" t="str">
        <f>IFERROR(E43/E$46,"NA")</f>
        <v>NA</v>
      </c>
      <c r="F205" s="12" t="str">
        <f>IFERROR(F43/F$46,"NA")</f>
        <v>NA</v>
      </c>
      <c r="G205" s="12" t="str">
        <f>IFERROR(G43/G$46,"NA")</f>
        <v>NA</v>
      </c>
      <c r="H205" s="12" t="str">
        <f>IFERROR(H43/H$46,"NA")</f>
        <v>NA</v>
      </c>
      <c r="I205" s="12" t="str">
        <f>IFERROR(I43/I$46,"NA")</f>
        <v>NA</v>
      </c>
      <c r="K205" s="12"/>
    </row>
    <row r="206" spans="1:11" x14ac:dyDescent="0.25">
      <c r="A206">
        <v>1975</v>
      </c>
      <c r="B206" s="18">
        <f>IFERROR(B44/B$46,"NA")</f>
        <v>0.85779703001006746</v>
      </c>
      <c r="C206" s="12">
        <f>IFERROR(C44/C$46,"NA")</f>
        <v>1</v>
      </c>
      <c r="D206" s="12" t="str">
        <f>IFERROR(D44/D$46,"NA")</f>
        <v>NA</v>
      </c>
      <c r="E206" s="12" t="str">
        <f>IFERROR(E44/E$46,"NA")</f>
        <v>NA</v>
      </c>
      <c r="F206" s="12" t="str">
        <f>IFERROR(F44/F$46,"NA")</f>
        <v>NA</v>
      </c>
      <c r="G206" s="12" t="str">
        <f>IFERROR(G44/G$46,"NA")</f>
        <v>NA</v>
      </c>
      <c r="H206" s="12" t="str">
        <f>IFERROR(H44/H$46,"NA")</f>
        <v>NA</v>
      </c>
      <c r="I206" s="12" t="str">
        <f>IFERROR(I44/I$46,"NA")</f>
        <v>NA</v>
      </c>
      <c r="K206" s="12"/>
    </row>
    <row r="207" spans="1:11" x14ac:dyDescent="0.25">
      <c r="A207">
        <v>1976</v>
      </c>
      <c r="B207" s="12">
        <f>IFERROR(B45/B$46,"NA")</f>
        <v>1</v>
      </c>
      <c r="C207" s="12" t="str">
        <f>IFERROR(C45/C$46,"NA")</f>
        <v>NA</v>
      </c>
      <c r="D207" s="12" t="str">
        <f>IFERROR(D45/D$46,"NA")</f>
        <v>NA</v>
      </c>
      <c r="E207" s="12" t="str">
        <f>IFERROR(E45/E$46,"NA")</f>
        <v>NA</v>
      </c>
      <c r="F207" s="12" t="str">
        <f>IFERROR(F45/F$46,"NA")</f>
        <v>NA</v>
      </c>
      <c r="G207" s="12" t="str">
        <f>IFERROR(G45/G$46,"NA")</f>
        <v>NA</v>
      </c>
      <c r="H207" s="12" t="str">
        <f>IFERROR(H45/H$46,"NA")</f>
        <v>NA</v>
      </c>
      <c r="I207" s="12" t="str">
        <f>IFERROR(I45/I$46,"NA")</f>
        <v>NA</v>
      </c>
      <c r="K207" s="12"/>
    </row>
    <row r="208" spans="1:11" x14ac:dyDescent="0.25">
      <c r="B208" s="12"/>
      <c r="C208" s="12"/>
      <c r="D208" s="12"/>
      <c r="E208" s="12"/>
      <c r="F208" s="12"/>
      <c r="G208" s="12"/>
      <c r="H208" s="12"/>
      <c r="I208" s="12"/>
      <c r="K208" s="12"/>
    </row>
    <row r="209" spans="1:11" x14ac:dyDescent="0.25">
      <c r="B209" s="12"/>
      <c r="C209" s="12"/>
      <c r="D209" s="12"/>
      <c r="E209" s="12"/>
      <c r="F209" s="12"/>
      <c r="G209" s="12"/>
      <c r="H209" s="12"/>
      <c r="I209" s="12"/>
      <c r="K209" s="12"/>
    </row>
    <row r="210" spans="1:11" x14ac:dyDescent="0.25">
      <c r="A210" cm="1">
        <f t="array" ref="A210:A217">$A$2:$A$9</f>
        <v>1969</v>
      </c>
      <c r="B210" s="12">
        <f>1/B67*B136</f>
        <v>0.28406608631814567</v>
      </c>
      <c r="C210" s="12"/>
      <c r="D210" s="12"/>
      <c r="E210" s="12"/>
      <c r="F210" s="12"/>
      <c r="G210" s="12"/>
      <c r="H210" s="12"/>
      <c r="I210" s="12"/>
      <c r="K210" s="12"/>
    </row>
    <row r="211" spans="1:11" x14ac:dyDescent="0.25">
      <c r="A211">
        <v>1970</v>
      </c>
      <c r="B211" s="12">
        <f>1/B68*B137</f>
        <v>0.55647542035682196</v>
      </c>
      <c r="C211" s="12"/>
      <c r="D211" s="12"/>
      <c r="E211" s="12"/>
      <c r="F211" s="12"/>
      <c r="G211" s="12"/>
      <c r="H211" s="12"/>
      <c r="I211" s="12"/>
      <c r="K211" s="12"/>
    </row>
    <row r="212" spans="1:11" x14ac:dyDescent="0.25">
      <c r="A212">
        <v>1971</v>
      </c>
      <c r="B212" s="12">
        <f>1/B69*B138</f>
        <v>0.45108996450258443</v>
      </c>
      <c r="C212" s="12"/>
      <c r="D212" s="12"/>
      <c r="E212" s="12"/>
      <c r="F212" s="12"/>
      <c r="G212" s="12"/>
      <c r="H212" s="12"/>
      <c r="I212" s="12"/>
      <c r="K212" s="12"/>
    </row>
    <row r="213" spans="1:11" x14ac:dyDescent="0.25">
      <c r="A213">
        <v>1972</v>
      </c>
      <c r="B213" s="12">
        <f>1/B70*B139</f>
        <v>0.63891554197612044</v>
      </c>
      <c r="C213" s="13"/>
      <c r="D213" s="13"/>
      <c r="E213" s="13"/>
      <c r="F213" s="13"/>
      <c r="G213" s="13"/>
      <c r="H213" s="13"/>
      <c r="I213" s="13"/>
    </row>
    <row r="214" spans="1:11" x14ac:dyDescent="0.25">
      <c r="A214">
        <v>1973</v>
      </c>
      <c r="B214" s="12">
        <f>1/B71*B140</f>
        <v>0.77707616065294038</v>
      </c>
      <c r="C214" s="13"/>
      <c r="D214" s="16">
        <f>1/D71*D140</f>
        <v>0.87854352953461479</v>
      </c>
      <c r="E214" s="13"/>
      <c r="F214" s="13"/>
      <c r="G214" s="13"/>
      <c r="H214" s="13"/>
      <c r="I214" s="13"/>
    </row>
    <row r="215" spans="1:11" x14ac:dyDescent="0.25">
      <c r="A215">
        <v>1974</v>
      </c>
      <c r="B215" s="12">
        <f>1/B72*B141</f>
        <v>0.63410371363288964</v>
      </c>
      <c r="C215" s="16">
        <f>1/C72*C141</f>
        <v>0.6989109043372933</v>
      </c>
      <c r="D215" s="13"/>
      <c r="E215" s="13"/>
      <c r="F215" s="13"/>
      <c r="G215" s="13"/>
      <c r="H215" s="13"/>
      <c r="I215" s="13"/>
    </row>
    <row r="216" spans="1:11" x14ac:dyDescent="0.25">
      <c r="A216">
        <v>1975</v>
      </c>
      <c r="B216" s="16">
        <f>1/B73*B142</f>
        <v>0.85779703001006746</v>
      </c>
      <c r="C216" s="13" t="s">
        <v>21</v>
      </c>
      <c r="D216" s="13"/>
      <c r="E216" s="13"/>
      <c r="F216" s="13"/>
      <c r="G216" s="13"/>
      <c r="H216" s="13"/>
      <c r="I216" s="13"/>
    </row>
    <row r="217" spans="1:11" x14ac:dyDescent="0.25">
      <c r="A217">
        <v>1976</v>
      </c>
    </row>
    <row r="220" spans="1:11" x14ac:dyDescent="0.25">
      <c r="A220" t="s">
        <v>17</v>
      </c>
    </row>
    <row r="221" spans="1:11" x14ac:dyDescent="0.25">
      <c r="A221" cm="1">
        <f t="array" ref="A221:A228">$A$2:$A$9</f>
        <v>1969</v>
      </c>
      <c r="B221" s="13">
        <f>IFERROR(B$46*B136/B67,"NA")</f>
        <v>3700.934579439252</v>
      </c>
      <c r="C221" s="13">
        <f>IFERROR(C$46*C136/C67,"NA")</f>
        <v>5659.5238095238092</v>
      </c>
      <c r="D221" s="13">
        <f>IFERROR(D$46*D136/D67,"NA")</f>
        <v>9261.7382617382609</v>
      </c>
      <c r="E221" s="13">
        <f>IFERROR(E$46*E136/E67,"NA")</f>
        <v>10150.912106135987</v>
      </c>
      <c r="F221" s="13">
        <f>IFERROR(F$46*F136/F67,"NA")</f>
        <v>11744.680851063829</v>
      </c>
      <c r="G221" s="13">
        <f>IFERROR(G$46*G136/G67,"NA")</f>
        <v>16627.450980392157</v>
      </c>
      <c r="H221" s="15">
        <f>IFERROR(H$46*H136/H67,"NA")</f>
        <v>19238.273921200751</v>
      </c>
      <c r="I221" s="13">
        <f>IFERROR(I$46*I136/I67,"NA")</f>
        <v>21423.398328690808</v>
      </c>
    </row>
    <row r="222" spans="1:11" x14ac:dyDescent="0.25">
      <c r="A222">
        <v>1970</v>
      </c>
      <c r="B222" s="13">
        <f>IFERROR(B$46*B137/B68,"NA")</f>
        <v>7250.0000000000009</v>
      </c>
      <c r="C222" s="13">
        <f>IFERROR(C$46*C137/C68,"NA")</f>
        <v>10635.318704284222</v>
      </c>
      <c r="D222" s="13">
        <f>IFERROR(D$46*D137/D68,"NA")</f>
        <v>12959.965187119235</v>
      </c>
      <c r="E222" s="13">
        <f>IFERROR(E$46*E137/E68,"NA")</f>
        <v>14221.481481481482</v>
      </c>
      <c r="F222" s="13">
        <f>IFERROR(F$46*F137/F68,"NA")</f>
        <v>17066.666666666668</v>
      </c>
      <c r="G222" s="15">
        <f>IFERROR(G$46*G137/G68,"NA")</f>
        <v>23410.596026490068</v>
      </c>
      <c r="H222" s="13">
        <f>IFERROR(H$46*H137/H68,"NA")</f>
        <v>24551.020408163266</v>
      </c>
      <c r="I222" s="13" t="str">
        <f>IFERROR(I$46*I137/I68,"NA")</f>
        <v>NA</v>
      </c>
    </row>
    <row r="223" spans="1:11" x14ac:dyDescent="0.25">
      <c r="A223">
        <v>1971</v>
      </c>
      <c r="B223" s="13">
        <f>IFERROR(B$46*B138/B69,"NA")</f>
        <v>5876.9931662870158</v>
      </c>
      <c r="C223" s="13">
        <f>IFERROR(C$46*C138/C69,"NA")</f>
        <v>8121.8961625282163</v>
      </c>
      <c r="D223" s="13">
        <f>IFERROR(D$46*D138/D69,"NA")</f>
        <v>10612.790697674416</v>
      </c>
      <c r="E223" s="13">
        <f>IFERROR(E$46*E138/E69,"NA")</f>
        <v>14372.984991662035</v>
      </c>
      <c r="F223" s="15">
        <f>IFERROR(F$46*F138/F69,"NA")</f>
        <v>21705.882352941175</v>
      </c>
      <c r="G223" s="13">
        <f>IFERROR(G$46*G138/G69,"NA")</f>
        <v>29043.560606060608</v>
      </c>
      <c r="H223" s="13" t="str">
        <f>IFERROR(H$46*H138/H69,"NA")</f>
        <v>NA</v>
      </c>
      <c r="I223" s="13" t="str">
        <f>IFERROR(I$46*I138/I69,"NA")</f>
        <v>NA</v>
      </c>
    </row>
    <row r="224" spans="1:11" x14ac:dyDescent="0.25">
      <c r="A224">
        <v>1972</v>
      </c>
      <c r="B224" s="13">
        <f>IFERROR(B$46*B139/B70,"NA")</f>
        <v>8324.0651965484176</v>
      </c>
      <c r="C224" s="13">
        <f>IFERROR(C$46*C139/C70,"NA")</f>
        <v>11433.055733504165</v>
      </c>
      <c r="D224" s="13">
        <f>IFERROR(D$46*D139/D70,"NA")</f>
        <v>15499.45295404814</v>
      </c>
      <c r="E224" s="15">
        <f>IFERROR(E$46*E139/E70,"NA")</f>
        <v>25039.59873284055</v>
      </c>
      <c r="F224" s="13">
        <f>IFERROR(F$46*F139/F70,"NA")</f>
        <v>28019.05387647832</v>
      </c>
      <c r="G224" s="13" t="str">
        <f>IFERROR(G$46*G139/G70,"NA")</f>
        <v>NA</v>
      </c>
      <c r="H224" s="13" t="str">
        <f>IFERROR(H$46*H139/H70,"NA")</f>
        <v>NA</v>
      </c>
      <c r="I224" s="13" t="str">
        <f>IFERROR(I$46*I139/I70,"NA")</f>
        <v>NA</v>
      </c>
    </row>
    <row r="225" spans="1:11" x14ac:dyDescent="0.25">
      <c r="A225">
        <v>1973</v>
      </c>
      <c r="B225" s="13">
        <f>IFERROR(B$46*B140/B71,"NA")</f>
        <v>10124.080882352942</v>
      </c>
      <c r="C225" s="13">
        <f>IFERROR(C$46*C140/C71,"NA")</f>
        <v>13785.302593659942</v>
      </c>
      <c r="D225" s="15">
        <f>IFERROR(D$46*D140/D71,"NA")</f>
        <v>30223.376623376618</v>
      </c>
      <c r="E225" s="13">
        <f>IFERROR(E$46*E140/E71,"NA")</f>
        <v>33266.382525306341</v>
      </c>
      <c r="F225" s="13" t="str">
        <f>IFERROR(F$46*F140/F71,"NA")</f>
        <v>NA</v>
      </c>
      <c r="G225" s="13" t="str">
        <f>IFERROR(G$46*G140/G71,"NA")</f>
        <v>NA</v>
      </c>
      <c r="H225" s="13" t="str">
        <f>IFERROR(H$46*H140/H71,"NA")</f>
        <v>NA</v>
      </c>
      <c r="I225" s="13" t="str">
        <f>IFERROR(I$46*I140/I71,"NA")</f>
        <v>NA</v>
      </c>
    </row>
    <row r="226" spans="1:11" x14ac:dyDescent="0.25">
      <c r="A226">
        <v>1974</v>
      </c>
      <c r="B226" s="13">
        <f>IFERROR(B$46*B141/B72,"NA")</f>
        <v>8261.37463697967</v>
      </c>
      <c r="C226" s="15">
        <f>IFERROR(C$46*C141/C72,"NA")</f>
        <v>22476.727785613541</v>
      </c>
      <c r="D226" s="13">
        <f>IFERROR(D$46*D141/D72,"NA")</f>
        <v>34401.683704149131</v>
      </c>
      <c r="E226" s="13" t="str">
        <f>IFERROR(E$46*E141/E72,"NA")</f>
        <v>NA</v>
      </c>
      <c r="F226" s="13" t="str">
        <f>IFERROR(F$46*F141/F72,"NA")</f>
        <v>NA</v>
      </c>
      <c r="G226" s="13" t="str">
        <f>IFERROR(G$46*G141/G72,"NA")</f>
        <v>NA</v>
      </c>
      <c r="H226" s="13" t="str">
        <f>IFERROR(H$46*H141/H72,"NA")</f>
        <v>NA</v>
      </c>
      <c r="I226" s="13" t="str">
        <f>IFERROR(I$46*I141/I72,"NA")</f>
        <v>NA</v>
      </c>
    </row>
    <row r="227" spans="1:11" x14ac:dyDescent="0.25">
      <c r="A227">
        <v>1975</v>
      </c>
      <c r="B227" s="15">
        <f>IFERROR(B$46*B142/B73,"NA")</f>
        <v>11175.746924428822</v>
      </c>
      <c r="C227" s="13">
        <f>IFERROR(C$46*C142/C73,"NA")</f>
        <v>32159.646739130436</v>
      </c>
      <c r="D227" s="13" t="str">
        <f>IFERROR(D$46*D142/D73,"NA")</f>
        <v>NA</v>
      </c>
      <c r="E227" s="13" t="str">
        <f>IFERROR(E$46*E142/E73,"NA")</f>
        <v>NA</v>
      </c>
      <c r="F227" s="13" t="str">
        <f>IFERROR(F$46*F142/F73,"NA")</f>
        <v>NA</v>
      </c>
      <c r="G227" s="13" t="str">
        <f>IFERROR(G$46*G142/G73,"NA")</f>
        <v>NA</v>
      </c>
      <c r="H227" s="13" t="str">
        <f>IFERROR(H$46*H142/H73,"NA")</f>
        <v>NA</v>
      </c>
      <c r="I227" s="13" t="str">
        <f>IFERROR(I$46*I142/I73,"NA")</f>
        <v>NA</v>
      </c>
    </row>
    <row r="228" spans="1:11" x14ac:dyDescent="0.25">
      <c r="A228">
        <v>1976</v>
      </c>
      <c r="B228" s="13">
        <f>IFERROR(B$46*B143/B74,"NA")</f>
        <v>13028.428093645485</v>
      </c>
      <c r="C228" s="13" t="str">
        <f>IFERROR(C$46*C143/C74,"NA")</f>
        <v>NA</v>
      </c>
      <c r="D228" s="13" t="str">
        <f>IFERROR(D$46*D143/D74,"NA")</f>
        <v>NA</v>
      </c>
      <c r="E228" s="13" t="str">
        <f>IFERROR(E$46*E143/E74,"NA")</f>
        <v>NA</v>
      </c>
      <c r="F228" s="13" t="str">
        <f>IFERROR(F$46*F143/F74,"NA")</f>
        <v>NA</v>
      </c>
      <c r="G228" s="13" t="str">
        <f>IFERROR(G$46*G143/G74,"NA")</f>
        <v>NA</v>
      </c>
      <c r="H228" s="13" t="str">
        <f>IFERROR(H$46*H143/H74,"NA")</f>
        <v>NA</v>
      </c>
      <c r="I228" s="13" t="str">
        <f>IFERROR(I$46*I143/I74,"NA")</f>
        <v>NA</v>
      </c>
    </row>
    <row r="230" spans="1:11" hidden="1" x14ac:dyDescent="0.25">
      <c r="A230">
        <v>1969</v>
      </c>
      <c r="B230" s="13">
        <f>IFERROR(B11 + B29 * B$46 / B67,"NA")</f>
        <v>3793503.650589583</v>
      </c>
      <c r="C230" s="13">
        <f>IFERROR(C11 + C29 * C$46 / C67 / C136,"NA")</f>
        <v>29097142.969781816</v>
      </c>
      <c r="D230" s="13">
        <f>IFERROR(D11 + D29 * D$46 / D67 / D136,"NA")</f>
        <v>33060138.919368133</v>
      </c>
      <c r="E230" s="13">
        <f>IFERROR(E11 + E29 * E$46 / E67 / E136,"NA")</f>
        <v>45966421.659259148</v>
      </c>
      <c r="F230" s="13">
        <f>IFERROR(F11 + F29 * F$46 / F67 / F136,"NA")</f>
        <v>34348280.853575811</v>
      </c>
      <c r="G230" s="13">
        <f>IFERROR(G11 + G29 * G$46 / G67 / G136,"NA")</f>
        <v>30368326.122474588</v>
      </c>
      <c r="H230" s="13">
        <f>IFERROR(H11 + H29 * H$46 / H67 / H136,"NA")</f>
        <v>25265126.138389356</v>
      </c>
      <c r="I230" s="13">
        <f>IFERROR(I11 + I29 * I$46 / I67 / I136,"NA")</f>
        <v>23506000</v>
      </c>
      <c r="J230" t="s">
        <v>9</v>
      </c>
    </row>
    <row r="231" spans="1:11" hidden="1" x14ac:dyDescent="0.25">
      <c r="A231">
        <f>A230+1</f>
        <v>1970</v>
      </c>
      <c r="B231" s="13">
        <f>IFERROR(B12 + B30 * B$46 / B68 / B137,"NA")</f>
        <v>2931124.3322306485</v>
      </c>
      <c r="C231" s="13">
        <f>IFERROR(C12 + C30 * C$46 / C68 / C137,"NA")</f>
        <v>23533116.831015609</v>
      </c>
      <c r="D231" s="13">
        <f>IFERROR(D12 + D30 * D$46 / D68 / D137,"NA")</f>
        <v>36315901.116374113</v>
      </c>
      <c r="E231" s="13">
        <f>IFERROR(E12 + E30 * E$46 / E68 / E137,"NA")</f>
        <v>49057434.951842785</v>
      </c>
      <c r="F231" s="13">
        <f>IFERROR(F12 + F30 * F$46 / F68 / F137,"NA")</f>
        <v>36322237.153161168</v>
      </c>
      <c r="G231" s="13">
        <f>IFERROR(G12 + G30 * G$46 / G68 / G137,"NA")</f>
        <v>34865200.065207131</v>
      </c>
      <c r="H231" s="13">
        <f>IFERROR(H12 + H30 * H$46 / H68 / H137,"NA")</f>
        <v>32216000</v>
      </c>
      <c r="I231" s="13" t="str">
        <f>IFERROR(I12 + I30 * I$46 / I68 / I137,"NA")</f>
        <v>NA</v>
      </c>
      <c r="J231" t="s">
        <v>9</v>
      </c>
    </row>
    <row r="232" spans="1:11" hidden="1" x14ac:dyDescent="0.25">
      <c r="A232">
        <f t="shared" ref="A232:A237" si="22">A231+1</f>
        <v>1971</v>
      </c>
      <c r="B232" s="13">
        <f>IFERROR(B13 + B31 * B$46 / B69 / B138,"NA")</f>
        <v>6563230.6310882038</v>
      </c>
      <c r="C232" s="13">
        <f>IFERROR(C13 + C31 * C$46 / C69 / C138,"NA")</f>
        <v>56470209.151471257</v>
      </c>
      <c r="D232" s="13">
        <f>IFERROR(D13 + D31 * D$46 / D69 / D138,"NA")</f>
        <v>85401273.853200868</v>
      </c>
      <c r="E232" s="13">
        <f>IFERROR(E13 + E31 * E$46 / E69 / E138,"NA")</f>
        <v>84267134.410542265</v>
      </c>
      <c r="F232" s="13">
        <f>IFERROR(F13 + F31 * F$46 / F69 / F138,"NA")</f>
        <v>50452684.60224811</v>
      </c>
      <c r="G232" s="13">
        <f>IFERROR(G13 + G31 * G$46 / G69 / G138,"NA")</f>
        <v>48377000</v>
      </c>
      <c r="H232" s="13" t="str">
        <f>IFERROR(H13 + H31 * H$46 / H69 / H138,"NA")</f>
        <v>NA</v>
      </c>
      <c r="I232" s="13" t="str">
        <f>IFERROR(I13 + I31 * I$46 / I69 / I138,"NA")</f>
        <v>NA</v>
      </c>
      <c r="J232" t="s">
        <v>9</v>
      </c>
    </row>
    <row r="233" spans="1:11" hidden="1" x14ac:dyDescent="0.25">
      <c r="A233">
        <f t="shared" si="22"/>
        <v>1972</v>
      </c>
      <c r="B233" s="13">
        <f>IFERROR(B14 + B32 * B$46 / B70 / B139,"NA")</f>
        <v>7002646.5727113225</v>
      </c>
      <c r="C233" s="13">
        <f>IFERROR(C14 + C32 * C$46 / C70 / C139,"NA")</f>
        <v>61834652.087435149</v>
      </c>
      <c r="D233" s="13">
        <f>IFERROR(D14 + D32 * D$46 / D70 / D139,"NA")</f>
        <v>83614587.450789496</v>
      </c>
      <c r="E233" s="13">
        <f>IFERROR(E14 + E32 * E$46 / E70 / E139,"NA")</f>
        <v>73065807.485153571</v>
      </c>
      <c r="F233" s="13">
        <f>IFERROR(F14 + F32 * F$46 / F70 / F139,"NA")</f>
        <v>61163000</v>
      </c>
      <c r="G233" s="13" t="str">
        <f>IFERROR(G14 + G32 * G$46 / G70 / G139,"NA")</f>
        <v>NA</v>
      </c>
      <c r="H233" s="13" t="str">
        <f>IFERROR(H14 + H32 * H$46 / H70 / H139,"NA")</f>
        <v>NA</v>
      </c>
      <c r="I233" s="13" t="str">
        <f>IFERROR(I14 + I32 * I$46 / I70 / I139,"NA")</f>
        <v>NA</v>
      </c>
      <c r="J233" t="s">
        <v>9</v>
      </c>
    </row>
    <row r="234" spans="1:11" hidden="1" x14ac:dyDescent="0.25">
      <c r="A234">
        <f t="shared" si="22"/>
        <v>1973</v>
      </c>
      <c r="B234" s="13">
        <f>IFERROR(B15 + B33 * B$46 / B71 / B140,"NA")</f>
        <v>8099245.4135145955</v>
      </c>
      <c r="C234" s="13">
        <f>IFERROR(C15 + C33 * C$46 / C71 / C140,"NA")</f>
        <v>60372384.440931924</v>
      </c>
      <c r="D234" s="13">
        <f>IFERROR(D15 + D33 * D$46 / D71 / D140,"NA")</f>
        <v>49196544.322213762</v>
      </c>
      <c r="E234" s="13">
        <f>IFERROR(E15 + E33 * E$46 / E71 / E140,"NA")</f>
        <v>73733000</v>
      </c>
      <c r="F234" s="13" t="str">
        <f>IFERROR(F15 + F33 * F$46 / F71 / F140,"NA")</f>
        <v>NA</v>
      </c>
      <c r="G234" s="13" t="str">
        <f>IFERROR(G15 + G33 * G$46 / G71 / G140,"NA")</f>
        <v>NA</v>
      </c>
      <c r="H234" s="13" t="str">
        <f>IFERROR(H15 + H33 * H$46 / H71 / H140,"NA")</f>
        <v>NA</v>
      </c>
      <c r="I234" s="13" t="str">
        <f>IFERROR(I15 + I33 * I$46 / I71 / I140,"NA")</f>
        <v>NA</v>
      </c>
      <c r="J234" t="s">
        <v>9</v>
      </c>
    </row>
    <row r="235" spans="1:11" hidden="1" x14ac:dyDescent="0.25">
      <c r="A235">
        <f t="shared" si="22"/>
        <v>1974</v>
      </c>
      <c r="B235" s="13">
        <f>IFERROR(B16 + B34 * B$46 / B72 / B141,"NA")</f>
        <v>12307025.235856332</v>
      </c>
      <c r="C235" s="13">
        <f>IFERROR(C16 + C34 * C$46 / C72 / C141,"NA")</f>
        <v>50923689.32343585</v>
      </c>
      <c r="D235" s="13">
        <f>IFERROR(D16 + D34 * D$46 / D72 / D141,"NA")</f>
        <v>63477000.000000007</v>
      </c>
      <c r="E235" s="13" t="str">
        <f>IFERROR(E16 + E34 * E$46 / E72 / E141,"NA")</f>
        <v>NA</v>
      </c>
      <c r="F235" s="13" t="str">
        <f>IFERROR(F16 + F34 * F$46 / F72 / F141,"NA")</f>
        <v>NA</v>
      </c>
      <c r="G235" s="13" t="str">
        <f>IFERROR(G16 + G34 * G$46 / G72 / G141,"NA")</f>
        <v>NA</v>
      </c>
      <c r="H235" s="13" t="str">
        <f>IFERROR(H16 + H34 * H$46 / H72 / H141,"NA")</f>
        <v>NA</v>
      </c>
      <c r="I235" s="13" t="str">
        <f>IFERROR(I16 + I34 * I$46 / I72 / I141,"NA")</f>
        <v>NA</v>
      </c>
      <c r="J235" t="s">
        <v>9</v>
      </c>
    </row>
    <row r="236" spans="1:11" hidden="1" x14ac:dyDescent="0.25">
      <c r="A236">
        <f t="shared" si="22"/>
        <v>1975</v>
      </c>
      <c r="B236" s="13">
        <f>IFERROR(B17 + B35 * B$46 / B73 / B142,"NA")</f>
        <v>13279352.252959121</v>
      </c>
      <c r="C236" s="13">
        <f>IFERROR(C17 + C35 * C$46 / C73 / C142,"NA")</f>
        <v>48904000</v>
      </c>
      <c r="D236" s="13" t="str">
        <f>IFERROR(D17 + D35 * D$46 / D73 / D142,"NA")</f>
        <v>NA</v>
      </c>
      <c r="E236" s="13" t="str">
        <f>IFERROR(E17 + E35 * E$46 / E73 / E142,"NA")</f>
        <v>NA</v>
      </c>
      <c r="F236" s="13" t="str">
        <f>IFERROR(F17 + F35 * F$46 / F73 / F142,"NA")</f>
        <v>NA</v>
      </c>
      <c r="G236" s="13" t="str">
        <f>IFERROR(G17 + G35 * G$46 / G73 / G142,"NA")</f>
        <v>NA</v>
      </c>
      <c r="H236" s="13" t="str">
        <f>IFERROR(H17 + H35 * H$46 / H73 / H142,"NA")</f>
        <v>NA</v>
      </c>
      <c r="I236" s="13" t="str">
        <f>IFERROR(I17 + I35 * I$46 / I73 / I142,"NA")</f>
        <v>NA</v>
      </c>
      <c r="J236" t="s">
        <v>9</v>
      </c>
    </row>
    <row r="237" spans="1:11" hidden="1" x14ac:dyDescent="0.25">
      <c r="A237">
        <f t="shared" si="22"/>
        <v>1976</v>
      </c>
      <c r="B237" s="13">
        <f>IFERROR(B18 + B36 * B$46 / B74 / B143,"NA")</f>
        <v>15791000</v>
      </c>
      <c r="C237" s="13" t="str">
        <f>IFERROR(C18 + C36 * C$46 / C74 / C143,"NA")</f>
        <v>NA</v>
      </c>
      <c r="D237" s="13" t="str">
        <f>IFERROR(D18 + D36 * D$46 / D74 / D143,"NA")</f>
        <v>NA</v>
      </c>
      <c r="E237" s="13" t="str">
        <f>IFERROR(E18 + E36 * E$46 / E74 / E143,"NA")</f>
        <v>NA</v>
      </c>
      <c r="F237" s="13" t="str">
        <f>IFERROR(F18 + F36 * F$46 / F74 / F143,"NA")</f>
        <v>NA</v>
      </c>
      <c r="G237" s="13" t="str">
        <f>IFERROR(G18 + G36 * G$46 / G74 / G143,"NA")</f>
        <v>NA</v>
      </c>
      <c r="H237" s="13" t="str">
        <f>IFERROR(H18 + H36 * H$46 / H74 / H143,"NA")</f>
        <v>NA</v>
      </c>
      <c r="I237" s="13" t="str">
        <f>IFERROR(I18 + I36 * I$46 / I74 / I143,"NA")</f>
        <v>NA</v>
      </c>
      <c r="J237" t="s">
        <v>9</v>
      </c>
    </row>
    <row r="238" spans="1:11" hidden="1" x14ac:dyDescent="0.25">
      <c r="B238" s="13"/>
      <c r="C238" s="13"/>
      <c r="D238" s="13"/>
      <c r="E238" s="13"/>
      <c r="F238" s="13"/>
      <c r="G238" s="13"/>
      <c r="H238" s="13"/>
      <c r="I238" s="13"/>
    </row>
    <row r="239" spans="1:11" hidden="1" x14ac:dyDescent="0.25">
      <c r="A239">
        <v>1969</v>
      </c>
      <c r="B239" s="13">
        <f>IFERROR(C11-B11,"NA")</f>
        <v>281000</v>
      </c>
      <c r="C239" s="13">
        <f>IFERROR(D11-C11,"NA")</f>
        <v>1037000</v>
      </c>
      <c r="D239" s="13">
        <f>IFERROR(E11-D11,"NA")</f>
        <v>1543000</v>
      </c>
      <c r="E239" s="13">
        <f>IFERROR(F11-E11,"NA")</f>
        <v>1481000</v>
      </c>
      <c r="F239" s="13">
        <f>IFERROR(G11-F11,"NA")</f>
        <v>3712000</v>
      </c>
      <c r="G239" s="13">
        <f>IFERROR(H11-G11,"NA")</f>
        <v>4459000</v>
      </c>
      <c r="H239" s="13">
        <f>IFERROR(I11-H11,"NA")</f>
        <v>3177000</v>
      </c>
      <c r="I239" s="13" t="str">
        <f>IFERROR(J11-I11,"NA")</f>
        <v>NA</v>
      </c>
      <c r="J239" t="s">
        <v>11</v>
      </c>
      <c r="K239" t="s">
        <v>2</v>
      </c>
    </row>
    <row r="240" spans="1:11" hidden="1" x14ac:dyDescent="0.25">
      <c r="A240">
        <f>A239+1</f>
        <v>1970</v>
      </c>
      <c r="B240" s="13">
        <f>IFERROR(C12-B12,"NA")</f>
        <v>486000</v>
      </c>
      <c r="C240" s="13">
        <f>IFERROR(D12-C12,"NA")</f>
        <v>1487000</v>
      </c>
      <c r="D240" s="13">
        <f>IFERROR(E12-D12,"NA")</f>
        <v>1625000</v>
      </c>
      <c r="E240" s="13">
        <f>IFERROR(F12-E12,"NA")</f>
        <v>3882000</v>
      </c>
      <c r="F240" s="13">
        <f>IFERROR(G12-F12,"NA")</f>
        <v>6772000</v>
      </c>
      <c r="G240" s="13">
        <f>IFERROR(H12-G12,"NA")</f>
        <v>4688000</v>
      </c>
      <c r="H240" s="13" t="str">
        <f>IFERROR(I12-H12,"NA")</f>
        <v>NA</v>
      </c>
      <c r="I240" s="13" t="str">
        <f>IFERROR(J12-I12,"NA")</f>
        <v>NA</v>
      </c>
      <c r="J240" t="s">
        <v>11</v>
      </c>
      <c r="K240" t="s">
        <v>2</v>
      </c>
    </row>
    <row r="241" spans="1:11" hidden="1" x14ac:dyDescent="0.25">
      <c r="A241">
        <f t="shared" ref="A241:A246" si="23">A240+1</f>
        <v>1971</v>
      </c>
      <c r="B241" s="13">
        <f>IFERROR(C13-B13,"NA")</f>
        <v>852000</v>
      </c>
      <c r="C241" s="13">
        <f>IFERROR(D13-C13,"NA")</f>
        <v>1332000</v>
      </c>
      <c r="D241" s="13">
        <f>IFERROR(E13-D13,"NA")</f>
        <v>2592000</v>
      </c>
      <c r="E241" s="13">
        <f>IFERROR(F13-E13,"NA")</f>
        <v>6328000</v>
      </c>
      <c r="F241" s="13">
        <f>IFERROR(G13-F13,"NA")</f>
        <v>6308000</v>
      </c>
      <c r="G241" s="13" t="str">
        <f>IFERROR(H13-G13,"NA")</f>
        <v>NA</v>
      </c>
      <c r="H241" s="13" t="str">
        <f>IFERROR(I13-H13,"NA")</f>
        <v>NA</v>
      </c>
      <c r="I241" s="13" t="str">
        <f>IFERROR(J13-I13,"NA")</f>
        <v>NA</v>
      </c>
      <c r="J241" t="s">
        <v>11</v>
      </c>
      <c r="K241" t="s">
        <v>2</v>
      </c>
    </row>
    <row r="242" spans="1:11" hidden="1" x14ac:dyDescent="0.25">
      <c r="A242">
        <f t="shared" si="23"/>
        <v>1972</v>
      </c>
      <c r="B242" s="13">
        <f>IFERROR(C14-B14,"NA")</f>
        <v>736000</v>
      </c>
      <c r="C242" s="13">
        <f>IFERROR(D14-C14,"NA")</f>
        <v>3024000</v>
      </c>
      <c r="D242" s="13">
        <f>IFERROR(E14-D14,"NA")</f>
        <v>5961000</v>
      </c>
      <c r="E242" s="13">
        <f>IFERROR(F14-E14,"NA")</f>
        <v>8747000</v>
      </c>
      <c r="F242" s="13" t="str">
        <f>IFERROR(G14-F14,"NA")</f>
        <v>NA</v>
      </c>
      <c r="G242" s="13" t="str">
        <f>IFERROR(H14-G14,"NA")</f>
        <v>NA</v>
      </c>
      <c r="H242" s="13" t="str">
        <f>IFERROR(I14-H14,"NA")</f>
        <v>NA</v>
      </c>
      <c r="I242" s="13" t="str">
        <f>IFERROR(J14-I14,"NA")</f>
        <v>NA</v>
      </c>
      <c r="J242" t="s">
        <v>11</v>
      </c>
      <c r="K242" t="s">
        <v>2</v>
      </c>
    </row>
    <row r="243" spans="1:11" hidden="1" x14ac:dyDescent="0.25">
      <c r="A243">
        <f t="shared" si="23"/>
        <v>1973</v>
      </c>
      <c r="B243" s="13">
        <f>IFERROR(C15-B15,"NA")</f>
        <v>620000</v>
      </c>
      <c r="C243" s="13">
        <f>IFERROR(D15-C15,"NA")</f>
        <v>2766000</v>
      </c>
      <c r="D243" s="13">
        <f>IFERROR(E15-D15,"NA")</f>
        <v>7693000</v>
      </c>
      <c r="E243" s="13" t="str">
        <f>IFERROR(F15-E15,"NA")</f>
        <v>NA</v>
      </c>
      <c r="F243" s="13" t="str">
        <f>IFERROR(G15-F15,"NA")</f>
        <v>NA</v>
      </c>
      <c r="G243" s="13" t="str">
        <f>IFERROR(H15-G15,"NA")</f>
        <v>NA</v>
      </c>
      <c r="H243" s="13" t="str">
        <f>IFERROR(I15-H15,"NA")</f>
        <v>NA</v>
      </c>
      <c r="I243" s="13" t="str">
        <f>IFERROR(J15-I15,"NA")</f>
        <v>NA</v>
      </c>
      <c r="J243" t="s">
        <v>11</v>
      </c>
      <c r="K243" t="s">
        <v>2</v>
      </c>
    </row>
    <row r="244" spans="1:11" hidden="1" x14ac:dyDescent="0.25">
      <c r="A244">
        <f t="shared" si="23"/>
        <v>1974</v>
      </c>
      <c r="B244" s="13">
        <f>IFERROR(C16-B16,"NA")</f>
        <v>1415000</v>
      </c>
      <c r="C244" s="13">
        <f>IFERROR(D16-C16,"NA")</f>
        <v>4680000</v>
      </c>
      <c r="D244" s="13" t="str">
        <f>IFERROR(E16-D16,"NA")</f>
        <v>NA</v>
      </c>
      <c r="E244" s="13" t="str">
        <f>IFERROR(F16-E16,"NA")</f>
        <v>NA</v>
      </c>
      <c r="F244" s="13" t="str">
        <f>IFERROR(G16-F16,"NA")</f>
        <v>NA</v>
      </c>
      <c r="G244" s="13" t="str">
        <f>IFERROR(H16-G16,"NA")</f>
        <v>NA</v>
      </c>
      <c r="H244" s="13" t="str">
        <f>IFERROR(I16-H16,"NA")</f>
        <v>NA</v>
      </c>
      <c r="I244" s="13" t="str">
        <f>IFERROR(J16-I16,"NA")</f>
        <v>NA</v>
      </c>
      <c r="J244" t="s">
        <v>11</v>
      </c>
      <c r="K244" t="s">
        <v>2</v>
      </c>
    </row>
    <row r="245" spans="1:11" hidden="1" x14ac:dyDescent="0.25">
      <c r="A245">
        <f t="shared" si="23"/>
        <v>1975</v>
      </c>
      <c r="B245" s="13">
        <f>IFERROR(C17-B17,"NA")</f>
        <v>1355000</v>
      </c>
      <c r="C245" s="13" t="str">
        <f>IFERROR(D17-C17,"NA")</f>
        <v>NA</v>
      </c>
      <c r="D245" s="13" t="str">
        <f>IFERROR(E17-D17,"NA")</f>
        <v>NA</v>
      </c>
      <c r="E245" s="13" t="str">
        <f>IFERROR(F17-E17,"NA")</f>
        <v>NA</v>
      </c>
      <c r="F245" s="13" t="str">
        <f>IFERROR(G17-F17,"NA")</f>
        <v>NA</v>
      </c>
      <c r="G245" s="13" t="str">
        <f>IFERROR(H17-G17,"NA")</f>
        <v>NA</v>
      </c>
      <c r="H245" s="13" t="str">
        <f>IFERROR(I17-H17,"NA")</f>
        <v>NA</v>
      </c>
      <c r="I245" s="13" t="str">
        <f>IFERROR(J17-I17,"NA")</f>
        <v>NA</v>
      </c>
      <c r="J245" t="s">
        <v>11</v>
      </c>
      <c r="K245" t="s">
        <v>2</v>
      </c>
    </row>
    <row r="246" spans="1:11" hidden="1" x14ac:dyDescent="0.25">
      <c r="A246">
        <f t="shared" si="23"/>
        <v>1976</v>
      </c>
      <c r="B246" s="13" t="str">
        <f>IFERROR(C18-B18,"NA")</f>
        <v>NA</v>
      </c>
      <c r="C246" s="13" t="str">
        <f>IFERROR(D18-C18,"NA")</f>
        <v>NA</v>
      </c>
      <c r="D246" s="13" t="str">
        <f>IFERROR(E18-D18,"NA")</f>
        <v>NA</v>
      </c>
      <c r="E246" s="13" t="str">
        <f>IFERROR(F18-E18,"NA")</f>
        <v>NA</v>
      </c>
      <c r="F246" s="13" t="str">
        <f>IFERROR(G18-F18,"NA")</f>
        <v>NA</v>
      </c>
      <c r="G246" s="13" t="str">
        <f>IFERROR(H18-G18,"NA")</f>
        <v>NA</v>
      </c>
      <c r="H246" s="13" t="str">
        <f>IFERROR(I18-H18,"NA")</f>
        <v>NA</v>
      </c>
      <c r="I246" s="13" t="str">
        <f>IFERROR(J18-I18,"NA")</f>
        <v>NA</v>
      </c>
      <c r="J246" t="s">
        <v>11</v>
      </c>
      <c r="K246" t="s">
        <v>2</v>
      </c>
    </row>
    <row r="247" spans="1:11" hidden="1" x14ac:dyDescent="0.25">
      <c r="B247" s="13"/>
      <c r="C247" s="13"/>
      <c r="D247" s="13"/>
      <c r="E247" s="13"/>
      <c r="F247" s="13"/>
      <c r="G247" s="13"/>
      <c r="H247" s="13"/>
      <c r="I247" s="13"/>
    </row>
    <row r="248" spans="1:11" hidden="1" x14ac:dyDescent="0.25">
      <c r="A248">
        <v>1969</v>
      </c>
      <c r="B248" s="13">
        <f>IFERROR(C$46/C67*C29*C136-B$46/B67*B29*B136,"NA")</f>
        <v>1982000.0000000009</v>
      </c>
      <c r="C248" s="13">
        <f>IFERROR(D$46/D67*D29*D136-C$46/C67*C29*C136,"NA")</f>
        <v>4516999.9999999991</v>
      </c>
      <c r="D248" s="13">
        <f>IFERROR(E$46/E67*E29*E136-D$46/D67*D29*D136,"NA")</f>
        <v>2971000</v>
      </c>
      <c r="E248" s="13">
        <f>IFERROR(F$46/F67*F29*F136-E$46/E67*E29*E136,"NA")</f>
        <v>-98000.000000001863</v>
      </c>
      <c r="F248" s="13">
        <f>IFERROR(G$46/G67*G29*G136-F$46/F67*F29*F136,"NA")</f>
        <v>576000.00000000373</v>
      </c>
      <c r="G248" s="13">
        <f>IFERROR(H$46/H67*H29*H136-G$46/G67*G29*G136,"NA")</f>
        <v>-2466000.0000000019</v>
      </c>
      <c r="H248" s="13">
        <f>IFERROR(I$46/I67*I29*I136-H$46/H67*H29*H136,"NA")</f>
        <v>-2563000</v>
      </c>
      <c r="I248" s="13" t="str">
        <f>IFERROR(J$46/J67*J29*J136-I$46/I67*I29*I136,"NA")</f>
        <v>NA</v>
      </c>
      <c r="J248" t="s">
        <v>12</v>
      </c>
    </row>
    <row r="249" spans="1:11" hidden="1" x14ac:dyDescent="0.25">
      <c r="A249">
        <f>A248+1</f>
        <v>1970</v>
      </c>
      <c r="B249" s="13">
        <f>IFERROR(C$46/C68*C30*C137-B$46/B68*B30*B137,"NA")</f>
        <v>5392999.9999999991</v>
      </c>
      <c r="C249" s="13">
        <f>IFERROR(D$46/D68*D30*D137-C$46/C68*C30*C137,"NA")</f>
        <v>4713000.0000000037</v>
      </c>
      <c r="D249" s="13">
        <f>IFERROR(E$46/E68*E30*E137-D$46/D68*D30*D137,"NA")</f>
        <v>4308000</v>
      </c>
      <c r="E249" s="13">
        <f>IFERROR(F$46/F68*F30*F137-E$46/E68*E30*E137,"NA")</f>
        <v>-511000.00000000373</v>
      </c>
      <c r="F249" s="13">
        <f>IFERROR(G$46/G68*G30*G137-F$46/F68*F30*F137,"NA")</f>
        <v>-1013000.0000000037</v>
      </c>
      <c r="G249" s="13">
        <f>IFERROR(H$46/H68*H30*H137-G$46/G68*G30*G137,"NA")</f>
        <v>-4441999.9999999963</v>
      </c>
      <c r="H249" s="13" t="str">
        <f>IFERROR(I$46/I68*I30*I137-H$46/H68*H30*H137,"NA")</f>
        <v>NA</v>
      </c>
      <c r="I249" s="13" t="str">
        <f>IFERROR(J$46/J68*J30*J137-I$46/I68*I30*I137,"NA")</f>
        <v>NA</v>
      </c>
      <c r="J249" t="s">
        <v>12</v>
      </c>
    </row>
    <row r="250" spans="1:11" hidden="1" x14ac:dyDescent="0.25">
      <c r="A250">
        <f t="shared" ref="A250:A255" si="24">A249+1</f>
        <v>1971</v>
      </c>
      <c r="B250" s="13">
        <f>IFERROR(C$46/C69*C31*C138-B$46/B69*B31*B138,"NA")</f>
        <v>5634000</v>
      </c>
      <c r="C250" s="13">
        <f>IFERROR(D$46/D69*D31*D138-C$46/C69*C31*C138,"NA")</f>
        <v>7460000</v>
      </c>
      <c r="D250" s="13">
        <f>IFERROR(E$46/E69*E31*E138-D$46/D69*D31*D138,"NA")</f>
        <v>7603000.0000000037</v>
      </c>
      <c r="E250" s="13">
        <f>IFERROR(F$46/F69*F31*F138-E$46/E69*E31*E138,"NA")</f>
        <v>5138999.9999999963</v>
      </c>
      <c r="F250" s="13">
        <f>IFERROR(G$46/G69*G31*G138-F$46/F69*F31*F138,"NA")</f>
        <v>-326000</v>
      </c>
      <c r="G250" s="13" t="str">
        <f>IFERROR(H$46/H69*H31*H138-G$46/G69*G31*G138,"NA")</f>
        <v>NA</v>
      </c>
      <c r="H250" s="13" t="str">
        <f>IFERROR(I$46/I69*I31*I138-H$46/H69*H31*H138,"NA")</f>
        <v>NA</v>
      </c>
      <c r="I250" s="13" t="str">
        <f>IFERROR(J$46/J69*J31*J138-I$46/I69*I31*I138,"NA")</f>
        <v>NA</v>
      </c>
      <c r="J250" t="s">
        <v>12</v>
      </c>
    </row>
    <row r="251" spans="1:11" hidden="1" x14ac:dyDescent="0.25">
      <c r="A251">
        <f t="shared" si="24"/>
        <v>1972</v>
      </c>
      <c r="B251" s="13">
        <f>IFERROR(C$46/C70*C32*C139-B$46/B70*B32*B139,"NA")</f>
        <v>9165000.0000000037</v>
      </c>
      <c r="C251" s="13">
        <f>IFERROR(D$46/D70*D32*D139-C$46/C70*C32*C139,"NA")</f>
        <v>10485999.999999996</v>
      </c>
      <c r="D251" s="13">
        <f>IFERROR(E$46/E70*E32*E139-D$46/D70*D32*D139,"NA")</f>
        <v>19092000</v>
      </c>
      <c r="E251" s="13">
        <f>IFERROR(F$46/F70*F32*F139-E$46/E70*E32*E139,"NA")</f>
        <v>-4780000</v>
      </c>
      <c r="F251" s="13" t="str">
        <f>IFERROR(G$46/G70*G32*G139-F$46/F70*F32*F139,"NA")</f>
        <v>NA</v>
      </c>
      <c r="G251" s="13" t="str">
        <f>IFERROR(H$46/H70*H32*H139-G$46/G70*G32*G139,"NA")</f>
        <v>NA</v>
      </c>
      <c r="H251" s="13" t="str">
        <f>IFERROR(I$46/I70*I32*I139-H$46/H70*H32*H139,"NA")</f>
        <v>NA</v>
      </c>
      <c r="I251" s="13" t="str">
        <f>IFERROR(J$46/J70*J32*J139-I$46/I70*I32*I139,"NA")</f>
        <v>NA</v>
      </c>
      <c r="J251" t="s">
        <v>12</v>
      </c>
    </row>
    <row r="252" spans="1:11" hidden="1" x14ac:dyDescent="0.25">
      <c r="A252">
        <f t="shared" si="24"/>
        <v>1973</v>
      </c>
      <c r="B252" s="13">
        <f>IFERROR(C$46/C71*C33*C140-B$46/B71*B33*B140,"NA")</f>
        <v>8119000</v>
      </c>
      <c r="C252" s="13">
        <f>IFERROR(D$46/D71*D33*D140-C$46/C71*C33*C140,"NA")</f>
        <v>27410000</v>
      </c>
      <c r="D252" s="13">
        <f>IFERROR(E$46/E71*E33*E140-D$46/D71*D33*D140,"NA")</f>
        <v>15897000</v>
      </c>
      <c r="E252" s="13" t="str">
        <f>IFERROR(F$46/F71*F33*F140-E$46/E71*E33*E140,"NA")</f>
        <v>NA</v>
      </c>
      <c r="F252" s="13" t="str">
        <f>IFERROR(G$46/G71*G33*G140-F$46/F71*F33*F140,"NA")</f>
        <v>NA</v>
      </c>
      <c r="G252" s="13" t="str">
        <f>IFERROR(H$46/H71*H33*H140-G$46/G71*G33*G140,"NA")</f>
        <v>NA</v>
      </c>
      <c r="H252" s="13" t="str">
        <f>IFERROR(I$46/I71*I33*I140-H$46/H71*H33*H140,"NA")</f>
        <v>NA</v>
      </c>
      <c r="I252" s="13" t="str">
        <f>IFERROR(J$46/J71*J33*J140-I$46/I71*I33*I140,"NA")</f>
        <v>NA</v>
      </c>
      <c r="J252" t="s">
        <v>12</v>
      </c>
    </row>
    <row r="253" spans="1:11" hidden="1" x14ac:dyDescent="0.25">
      <c r="A253">
        <f t="shared" si="24"/>
        <v>1974</v>
      </c>
      <c r="B253" s="13">
        <f>IFERROR(C$46/C72*C34*C141-B$46/B72*B34*B141,"NA")</f>
        <v>23338000</v>
      </c>
      <c r="C253" s="13">
        <f>IFERROR(D$46/D72*D34*D141-C$46/C72*C34*C141,"NA")</f>
        <v>25338000.000000007</v>
      </c>
      <c r="D253" s="13" t="str">
        <f>IFERROR(E$46/E72*E34*E141-D$46/D72*D34*D141,"NA")</f>
        <v>NA</v>
      </c>
      <c r="E253" s="13" t="str">
        <f>IFERROR(F$46/F72*F34*F141-E$46/E72*E34*E141,"NA")</f>
        <v>NA</v>
      </c>
      <c r="F253" s="13" t="str">
        <f>IFERROR(G$46/G72*G34*G141-F$46/F72*F34*F141,"NA")</f>
        <v>NA</v>
      </c>
      <c r="G253" s="13" t="str">
        <f>IFERROR(H$46/H72*H34*H141-G$46/G72*G34*G141,"NA")</f>
        <v>NA</v>
      </c>
      <c r="H253" s="13" t="str">
        <f>IFERROR(I$46/I72*I34*I141-H$46/H72*H34*H141,"NA")</f>
        <v>NA</v>
      </c>
      <c r="I253" s="13" t="str">
        <f>IFERROR(J$46/J72*J34*J141-I$46/I72*I34*I141,"NA")</f>
        <v>NA</v>
      </c>
      <c r="J253" t="s">
        <v>12</v>
      </c>
    </row>
    <row r="254" spans="1:11" hidden="1" x14ac:dyDescent="0.25">
      <c r="A254">
        <f t="shared" si="24"/>
        <v>1975</v>
      </c>
      <c r="B254" s="13">
        <f>IFERROR(C$46/C73*C35*C142-B$46/B73*B35*B142,"NA")</f>
        <v>34621000</v>
      </c>
      <c r="C254" s="13" t="str">
        <f>IFERROR(D$46/D73*D35*D142-C$46/C73*C35*C142,"NA")</f>
        <v>NA</v>
      </c>
      <c r="D254" s="13" t="str">
        <f>IFERROR(E$46/E73*E35*E142-D$46/D73*D35*D142,"NA")</f>
        <v>NA</v>
      </c>
      <c r="E254" s="13" t="str">
        <f>IFERROR(F$46/F73*F35*F142-E$46/E73*E35*E142,"NA")</f>
        <v>NA</v>
      </c>
      <c r="F254" s="13" t="str">
        <f>IFERROR(G$46/G73*G35*G142-F$46/F73*F35*F142,"NA")</f>
        <v>NA</v>
      </c>
      <c r="G254" s="13" t="str">
        <f>IFERROR(H$46/H73*H35*H142-G$46/G73*G35*G142,"NA")</f>
        <v>NA</v>
      </c>
      <c r="H254" s="13" t="str">
        <f>IFERROR(I$46/I73*I35*I142-H$46/H73*H35*H142,"NA")</f>
        <v>NA</v>
      </c>
      <c r="I254" s="13" t="str">
        <f>IFERROR(J$46/J73*J35*J142-I$46/I73*I35*I142,"NA")</f>
        <v>NA</v>
      </c>
      <c r="J254" t="s">
        <v>12</v>
      </c>
    </row>
    <row r="255" spans="1:11" hidden="1" x14ac:dyDescent="0.25">
      <c r="A255">
        <f t="shared" si="24"/>
        <v>1976</v>
      </c>
      <c r="B255" s="13" t="str">
        <f>IFERROR(C$46/C74*C36*C143-B$46/B74*B36*B143,"NA")</f>
        <v>NA</v>
      </c>
      <c r="C255" s="13" t="str">
        <f>IFERROR(D$46/D74*D36*D143-C$46/C74*C36*C143,"NA")</f>
        <v>NA</v>
      </c>
      <c r="D255" s="13" t="str">
        <f>IFERROR(E$46/E74*E36*E143-D$46/D74*D36*D143,"NA")</f>
        <v>NA</v>
      </c>
      <c r="E255" s="13" t="str">
        <f>IFERROR(F$46/F74*F36*F143-E$46/E74*E36*E143,"NA")</f>
        <v>NA</v>
      </c>
      <c r="F255" s="13" t="str">
        <f>IFERROR(G$46/G74*G36*G143-F$46/F74*F36*F143,"NA")</f>
        <v>NA</v>
      </c>
      <c r="G255" s="13" t="str">
        <f>IFERROR(H$46/H74*H36*H143-G$46/G74*G36*G143,"NA")</f>
        <v>NA</v>
      </c>
      <c r="H255" s="13" t="str">
        <f>IFERROR(I$46/I74*I36*I143-H$46/H74*H36*H143,"NA")</f>
        <v>NA</v>
      </c>
      <c r="I255" s="13" t="str">
        <f>IFERROR(J$46/J74*J36*J143-I$46/I74*I36*I143,"NA")</f>
        <v>NA</v>
      </c>
      <c r="J255" t="s">
        <v>12</v>
      </c>
    </row>
    <row r="256" spans="1:11" hidden="1" x14ac:dyDescent="0.25"/>
    <row r="257" spans="1:9" hidden="1" x14ac:dyDescent="0.25">
      <c r="A257">
        <v>1969</v>
      </c>
      <c r="B257" s="2">
        <f>IFERROR(1+(B239+B248)/B230,"NA")</f>
        <v>1.5965461505878049</v>
      </c>
      <c r="C257" s="2">
        <f t="shared" ref="C257:I257" si="25">IFERROR(1+(C239+C248)/C230,"NA")</f>
        <v>1.1908778468651708</v>
      </c>
      <c r="D257" s="2">
        <f t="shared" si="25"/>
        <v>1.1365390511821321</v>
      </c>
      <c r="E257" s="2">
        <f t="shared" si="25"/>
        <v>1.0300871799473956</v>
      </c>
      <c r="F257" s="2">
        <f t="shared" si="25"/>
        <v>1.124838853457599</v>
      </c>
      <c r="G257" s="2">
        <f t="shared" si="25"/>
        <v>1.0656275881641382</v>
      </c>
      <c r="H257" s="2">
        <f t="shared" si="25"/>
        <v>1.0243022732851925</v>
      </c>
      <c r="I257" s="2" t="str">
        <f t="shared" si="25"/>
        <v>NA</v>
      </c>
    </row>
    <row r="258" spans="1:9" hidden="1" x14ac:dyDescent="0.25">
      <c r="A258">
        <f>A257+1</f>
        <v>1970</v>
      </c>
      <c r="B258" s="2">
        <f t="shared" ref="B258:I264" si="26">IFERROR(1+(B240+B249)/B231,"NA")</f>
        <v>3.0057149863465376</v>
      </c>
      <c r="C258" s="2">
        <f t="shared" si="26"/>
        <v>1.263458514421204</v>
      </c>
      <c r="D258" s="2">
        <f t="shared" si="26"/>
        <v>1.1633719615269282</v>
      </c>
      <c r="E258" s="2">
        <f t="shared" si="26"/>
        <v>1.0687153741998361</v>
      </c>
      <c r="F258" s="2">
        <f t="shared" si="26"/>
        <v>1.1585530091584346</v>
      </c>
      <c r="G258" s="2">
        <f t="shared" si="26"/>
        <v>1.0070557461176164</v>
      </c>
      <c r="H258" s="2" t="str">
        <f t="shared" si="26"/>
        <v>NA</v>
      </c>
      <c r="I258" s="2" t="str">
        <f t="shared" si="26"/>
        <v>NA</v>
      </c>
    </row>
    <row r="259" spans="1:9" hidden="1" x14ac:dyDescent="0.25">
      <c r="A259">
        <f t="shared" ref="A259:A264" si="27">A258+1</f>
        <v>1971</v>
      </c>
      <c r="B259" s="2">
        <f t="shared" si="26"/>
        <v>1.9882328329706436</v>
      </c>
      <c r="C259" s="2">
        <f t="shared" si="26"/>
        <v>1.1556927118229194</v>
      </c>
      <c r="D259" s="2">
        <f t="shared" si="26"/>
        <v>1.1193776104268016</v>
      </c>
      <c r="E259" s="2">
        <f t="shared" si="26"/>
        <v>1.1360791497208598</v>
      </c>
      <c r="F259" s="2">
        <f t="shared" si="26"/>
        <v>1.1185665351043272</v>
      </c>
      <c r="G259" s="2" t="str">
        <f t="shared" si="26"/>
        <v>NA</v>
      </c>
      <c r="H259" s="2" t="str">
        <f t="shared" si="26"/>
        <v>NA</v>
      </c>
      <c r="I259" s="2" t="str">
        <f t="shared" si="26"/>
        <v>NA</v>
      </c>
    </row>
    <row r="260" spans="1:9" hidden="1" x14ac:dyDescent="0.25">
      <c r="A260">
        <f t="shared" si="27"/>
        <v>1972</v>
      </c>
      <c r="B260" s="2">
        <f t="shared" si="26"/>
        <v>2.4138940038161145</v>
      </c>
      <c r="C260" s="2">
        <f t="shared" si="26"/>
        <v>1.2184859062665485</v>
      </c>
      <c r="D260" s="2">
        <f t="shared" si="26"/>
        <v>1.2996247516588499</v>
      </c>
      <c r="E260" s="2">
        <f t="shared" si="26"/>
        <v>1.0542935216422</v>
      </c>
      <c r="F260" s="2" t="str">
        <f t="shared" si="26"/>
        <v>NA</v>
      </c>
      <c r="G260" s="2" t="str">
        <f t="shared" si="26"/>
        <v>NA</v>
      </c>
      <c r="H260" s="2" t="str">
        <f t="shared" si="26"/>
        <v>NA</v>
      </c>
      <c r="I260" s="2" t="str">
        <f t="shared" si="26"/>
        <v>NA</v>
      </c>
    </row>
    <row r="261" spans="1:9" hidden="1" x14ac:dyDescent="0.25">
      <c r="A261">
        <f t="shared" si="27"/>
        <v>1973</v>
      </c>
      <c r="B261" s="2">
        <f t="shared" si="26"/>
        <v>2.0789894062745518</v>
      </c>
      <c r="C261" s="2">
        <f t="shared" si="26"/>
        <v>1.4998311774404747</v>
      </c>
      <c r="D261" s="2">
        <f t="shared" si="26"/>
        <v>1.4795052238933049</v>
      </c>
      <c r="E261" s="2" t="str">
        <f t="shared" si="26"/>
        <v>NA</v>
      </c>
      <c r="F261" s="2" t="str">
        <f t="shared" si="26"/>
        <v>NA</v>
      </c>
      <c r="G261" s="2" t="str">
        <f t="shared" si="26"/>
        <v>NA</v>
      </c>
      <c r="H261" s="2" t="str">
        <f t="shared" si="26"/>
        <v>NA</v>
      </c>
      <c r="I261" s="2" t="str">
        <f t="shared" si="26"/>
        <v>NA</v>
      </c>
    </row>
    <row r="262" spans="1:9" hidden="1" x14ac:dyDescent="0.25">
      <c r="A262">
        <f t="shared" si="27"/>
        <v>1974</v>
      </c>
      <c r="B262" s="2">
        <f t="shared" si="26"/>
        <v>3.011290261100831</v>
      </c>
      <c r="C262" s="2">
        <f t="shared" si="26"/>
        <v>1.589470252427003</v>
      </c>
      <c r="D262" s="2" t="str">
        <f t="shared" si="26"/>
        <v>NA</v>
      </c>
      <c r="E262" s="2" t="str">
        <f t="shared" si="26"/>
        <v>NA</v>
      </c>
      <c r="F262" s="2" t="str">
        <f t="shared" si="26"/>
        <v>NA</v>
      </c>
      <c r="G262" s="2" t="str">
        <f t="shared" si="26"/>
        <v>NA</v>
      </c>
      <c r="H262" s="2" t="str">
        <f t="shared" si="26"/>
        <v>NA</v>
      </c>
      <c r="I262" s="2" t="str">
        <f t="shared" si="26"/>
        <v>NA</v>
      </c>
    </row>
    <row r="263" spans="1:9" hidden="1" x14ac:dyDescent="0.25">
      <c r="A263">
        <f t="shared" si="27"/>
        <v>1975</v>
      </c>
      <c r="B263" s="2">
        <f t="shared" si="26"/>
        <v>3.7091682873299217</v>
      </c>
      <c r="C263" s="2" t="str">
        <f t="shared" si="26"/>
        <v>NA</v>
      </c>
      <c r="D263" s="2" t="str">
        <f t="shared" si="26"/>
        <v>NA</v>
      </c>
      <c r="E263" s="2" t="str">
        <f t="shared" si="26"/>
        <v>NA</v>
      </c>
      <c r="F263" s="2" t="str">
        <f t="shared" si="26"/>
        <v>NA</v>
      </c>
      <c r="G263" s="2" t="str">
        <f t="shared" si="26"/>
        <v>NA</v>
      </c>
      <c r="H263" s="2" t="str">
        <f t="shared" si="26"/>
        <v>NA</v>
      </c>
      <c r="I263" s="2" t="str">
        <f t="shared" si="26"/>
        <v>NA</v>
      </c>
    </row>
    <row r="264" spans="1:9" hidden="1" x14ac:dyDescent="0.25">
      <c r="A264">
        <f t="shared" si="27"/>
        <v>1976</v>
      </c>
      <c r="B264" s="2" t="str">
        <f t="shared" si="26"/>
        <v>NA</v>
      </c>
      <c r="C264" s="2" t="str">
        <f t="shared" si="26"/>
        <v>NA</v>
      </c>
      <c r="D264" s="2" t="str">
        <f t="shared" si="26"/>
        <v>NA</v>
      </c>
      <c r="E264" s="2" t="str">
        <f t="shared" si="26"/>
        <v>NA</v>
      </c>
      <c r="F264" s="2" t="str">
        <f t="shared" si="26"/>
        <v>NA</v>
      </c>
      <c r="G264" s="2" t="str">
        <f t="shared" si="26"/>
        <v>NA</v>
      </c>
      <c r="H264" s="2" t="str">
        <f t="shared" si="26"/>
        <v>NA</v>
      </c>
      <c r="I264" s="2" t="str">
        <f t="shared" si="26"/>
        <v>NA</v>
      </c>
    </row>
    <row r="265" spans="1:9" hidden="1" x14ac:dyDescent="0.25"/>
    <row r="266" spans="1:9" hidden="1" x14ac:dyDescent="0.25">
      <c r="B266" s="2">
        <f>AVERAGE(B257:B264)</f>
        <v>2.5434051326323437</v>
      </c>
      <c r="C266" s="2">
        <f t="shared" ref="C266:H266" si="28">AVERAGE(C257:C264)</f>
        <v>1.3196360682072201</v>
      </c>
      <c r="D266" s="2">
        <f t="shared" si="28"/>
        <v>1.2396837197376034</v>
      </c>
      <c r="E266" s="2">
        <f t="shared" si="28"/>
        <v>1.0722938063775729</v>
      </c>
      <c r="F266" s="2">
        <f t="shared" si="28"/>
        <v>1.1339861325734537</v>
      </c>
      <c r="G266" s="2">
        <f t="shared" si="28"/>
        <v>1.0363416671408774</v>
      </c>
      <c r="H266" s="2">
        <f t="shared" si="28"/>
        <v>1.0243022732851925</v>
      </c>
    </row>
    <row r="275" spans="1:10" x14ac:dyDescent="0.25">
      <c r="J275">
        <f>B17+B35*B44/B142</f>
        <v>13102479.278755274</v>
      </c>
    </row>
    <row r="278" spans="1:10" x14ac:dyDescent="0.25">
      <c r="A278">
        <v>1969</v>
      </c>
      <c r="B278" s="3">
        <f>C111/B111</f>
        <v>3.185694131756021</v>
      </c>
      <c r="C278" s="3">
        <f>D111/C111</f>
        <v>1.5361116354855366</v>
      </c>
      <c r="D278" s="3">
        <f>E111/D111</f>
        <v>1.3964967811049966</v>
      </c>
      <c r="E278" s="3">
        <f>F111/E111</f>
        <v>0.9071161040209953</v>
      </c>
      <c r="F278" s="3">
        <f>G111/F111</f>
        <v>1.0622069263540928</v>
      </c>
      <c r="G278" s="3">
        <f>H111/G111</f>
        <v>0.96147278869214414</v>
      </c>
      <c r="H278" s="3">
        <f>I111/H111</f>
        <v>0.97872893662490779</v>
      </c>
    </row>
    <row r="279" spans="1:10" x14ac:dyDescent="0.25">
      <c r="A279">
        <f>A278+1</f>
        <v>1970</v>
      </c>
      <c r="B279" s="3">
        <f>C112/B112</f>
        <v>4.209699326254154</v>
      </c>
      <c r="C279" s="3">
        <f>D112/C112</f>
        <v>1.5549727577954815</v>
      </c>
      <c r="D279" s="3">
        <f>E112/D112</f>
        <v>1.3474897190090902</v>
      </c>
      <c r="E279" s="3">
        <f>F112/E112</f>
        <v>0.92620815823270763</v>
      </c>
      <c r="F279" s="3">
        <f>G112/F112</f>
        <v>1.0859506471689577</v>
      </c>
      <c r="G279" s="3">
        <f>H112/G112</f>
        <v>0.96562844357266153</v>
      </c>
      <c r="H279" s="3"/>
    </row>
    <row r="280" spans="1:10" x14ac:dyDescent="0.25">
      <c r="A280">
        <f t="shared" ref="A280:A285" si="29">A279+1</f>
        <v>1971</v>
      </c>
      <c r="B280" s="3">
        <f>C113/B113</f>
        <v>4.2766702134700534</v>
      </c>
      <c r="C280" s="3">
        <f>D113/C113</f>
        <v>1.6176163862649999</v>
      </c>
      <c r="D280" s="3">
        <f>E113/D113</f>
        <v>1.2159853859598426</v>
      </c>
      <c r="E280" s="3">
        <f>F113/E113</f>
        <v>0.91789125785368164</v>
      </c>
      <c r="F280" s="3">
        <f>G113/F113</f>
        <v>1.047317173865256</v>
      </c>
      <c r="G280" s="3"/>
      <c r="H280" s="3"/>
    </row>
    <row r="281" spans="1:10" x14ac:dyDescent="0.25">
      <c r="A281">
        <f t="shared" si="29"/>
        <v>1972</v>
      </c>
      <c r="B281" s="3">
        <f>C114/B114</f>
        <v>4.3218538353416971</v>
      </c>
      <c r="C281" s="3">
        <f>D114/C114</f>
        <v>1.5198228763163628</v>
      </c>
      <c r="D281" s="3">
        <f>E114/D114</f>
        <v>1.2569694772881335</v>
      </c>
      <c r="E281" s="3">
        <f>F114/E114</f>
        <v>0.94739276278727669</v>
      </c>
      <c r="F281" s="3"/>
      <c r="G281" s="3"/>
      <c r="H281" s="3"/>
    </row>
    <row r="282" spans="1:10" x14ac:dyDescent="0.25">
      <c r="A282">
        <f t="shared" si="29"/>
        <v>1973</v>
      </c>
      <c r="B282" s="3">
        <f>C115/B115</f>
        <v>3.6278754635105566</v>
      </c>
      <c r="C282" s="3">
        <f>D115/C115</f>
        <v>1.4360770003811081</v>
      </c>
      <c r="D282" s="3">
        <f>E115/D115</f>
        <v>1.4845368715461764</v>
      </c>
      <c r="E282" s="3"/>
      <c r="F282" s="3"/>
      <c r="G282" s="3"/>
      <c r="H282" s="3"/>
    </row>
    <row r="283" spans="1:10" x14ac:dyDescent="0.25">
      <c r="A283">
        <f t="shared" si="29"/>
        <v>1974</v>
      </c>
      <c r="B283" s="3">
        <f>C116/B116</f>
        <v>3.9852547230444433</v>
      </c>
      <c r="C283" s="3">
        <f>D116/C116</f>
        <v>1.5391631261076741</v>
      </c>
      <c r="D283" s="3"/>
      <c r="E283" s="3"/>
      <c r="F283" s="3"/>
      <c r="G283" s="3"/>
      <c r="H283" s="3"/>
    </row>
    <row r="284" spans="1:10" x14ac:dyDescent="0.25">
      <c r="A284">
        <f t="shared" si="29"/>
        <v>1975</v>
      </c>
      <c r="B284" s="3">
        <f>C117/B117</f>
        <v>3.7324233803059177</v>
      </c>
      <c r="C284" s="3"/>
      <c r="D284" s="3"/>
      <c r="E284" s="3"/>
      <c r="F284" s="3"/>
      <c r="G284" s="3"/>
      <c r="H284" s="3"/>
    </row>
    <row r="285" spans="1:10" x14ac:dyDescent="0.25">
      <c r="A285">
        <f t="shared" si="29"/>
        <v>1976</v>
      </c>
      <c r="B285" s="3"/>
      <c r="C285" s="3"/>
      <c r="D285" s="3"/>
      <c r="E285" s="3"/>
      <c r="F285" s="3"/>
      <c r="G285" s="3"/>
      <c r="H285" s="3"/>
    </row>
    <row r="287" spans="1:10" x14ac:dyDescent="0.25">
      <c r="B287" s="3">
        <f>AVERAGE(B278:B285)</f>
        <v>3.9056387248118347</v>
      </c>
      <c r="C287" s="3">
        <f t="shared" ref="C287:H287" si="30">AVERAGE(C278:C285)</f>
        <v>1.5339606303918603</v>
      </c>
      <c r="D287" s="3">
        <f t="shared" si="30"/>
        <v>1.3402956469816476</v>
      </c>
      <c r="E287" s="3">
        <f t="shared" si="30"/>
        <v>0.92465207072366529</v>
      </c>
      <c r="F287" s="3">
        <f t="shared" si="30"/>
        <v>1.0651582491294356</v>
      </c>
      <c r="G287" s="3">
        <f t="shared" si="30"/>
        <v>0.96355061613240278</v>
      </c>
      <c r="H287" s="3">
        <f t="shared" si="30"/>
        <v>0.97872893662490779</v>
      </c>
      <c r="I287" s="3">
        <v>1</v>
      </c>
    </row>
    <row r="288" spans="1:10" x14ac:dyDescent="0.25">
      <c r="B288" s="3">
        <f t="shared" ref="B288:G288" si="31">B287*C288</f>
        <v>7.4582396224537062</v>
      </c>
      <c r="C288" s="3">
        <f t="shared" si="31"/>
        <v>1.9096081711482489</v>
      </c>
      <c r="D288" s="3">
        <f t="shared" si="31"/>
        <v>1.244887341509167</v>
      </c>
      <c r="E288" s="3">
        <f t="shared" si="31"/>
        <v>0.92881547762440286</v>
      </c>
      <c r="F288" s="3">
        <f t="shared" si="31"/>
        <v>1.004502674067965</v>
      </c>
      <c r="G288" s="3">
        <f t="shared" si="31"/>
        <v>0.9430548699115413</v>
      </c>
      <c r="H288" s="3">
        <f>H287*I288</f>
        <v>0.97872893662490779</v>
      </c>
      <c r="I288" s="3">
        <f>I287</f>
        <v>1</v>
      </c>
    </row>
    <row r="290" spans="1:9" x14ac:dyDescent="0.25">
      <c r="A290" t="s">
        <v>14</v>
      </c>
    </row>
    <row r="291" spans="1:9" x14ac:dyDescent="0.25">
      <c r="A291">
        <v>1969</v>
      </c>
      <c r="B291" s="13">
        <f>+B11+B29*B$46/B67</f>
        <v>3793503.650589583</v>
      </c>
      <c r="C291" s="13">
        <f>+C11+C29*C$46/C67</f>
        <v>12084942.318478277</v>
      </c>
      <c r="D291" s="13">
        <f>+D11+D29*D$46/D67</f>
        <v>18563820.50958604</v>
      </c>
      <c r="E291" s="13">
        <f>+E11+E29*E$46/E67</f>
        <v>25924315.586647827</v>
      </c>
      <c r="F291" s="13">
        <f>+F11+F29*F$46/F67</f>
        <v>23516364.154370733</v>
      </c>
      <c r="G291" s="13">
        <f>+G11+G29*G$46/G67</f>
        <v>24979244.887437705</v>
      </c>
      <c r="H291" s="13">
        <f>+H11+H29*H$46/H67</f>
        <v>24016864.241348714</v>
      </c>
      <c r="I291" s="13">
        <f>+I11+I29*I$46/I67</f>
        <v>23506000</v>
      </c>
    </row>
    <row r="292" spans="1:9" x14ac:dyDescent="0.25">
      <c r="A292">
        <f>A291+1</f>
        <v>1970</v>
      </c>
      <c r="B292" s="13">
        <f>+B12+B30*B$46/B68</f>
        <v>3760482.3375133411</v>
      </c>
      <c r="C292" s="13">
        <f>+C12+C30*C$46/C68</f>
        <v>15830499.962620556</v>
      </c>
      <c r="D292" s="13">
        <f>+D12+D30*D$46/D68</f>
        <v>24615996.184157353</v>
      </c>
      <c r="E292" s="13">
        <f>+E12+E30*E$46/E68</f>
        <v>33169801.781319026</v>
      </c>
      <c r="F292" s="13">
        <f>+F12+F30*F$46/F68</f>
        <v>30722141.016819481</v>
      </c>
      <c r="G292" s="13">
        <f>+G12+G30*G$46/G68</f>
        <v>33362728.919631094</v>
      </c>
      <c r="H292" s="13">
        <f>+H12+H30*H$46/H68</f>
        <v>32216000</v>
      </c>
      <c r="I292" s="13"/>
    </row>
    <row r="293" spans="1:9" x14ac:dyDescent="0.25">
      <c r="A293">
        <f t="shared" ref="A293:A298" si="32">A292+1</f>
        <v>1971</v>
      </c>
      <c r="B293" s="13">
        <f>+B13+B31*B$46/B69</f>
        <v>5982184.7214957885</v>
      </c>
      <c r="C293" s="13">
        <f>+C13+C31*C$46/C69</f>
        <v>25583831.209896687</v>
      </c>
      <c r="D293" s="13">
        <f>+D13+D31*D$46/D69</f>
        <v>41384824.588566795</v>
      </c>
      <c r="E293" s="13">
        <f>+E13+E31*E$46/E69</f>
        <v>50323341.900208786</v>
      </c>
      <c r="F293" s="13">
        <f>+F13+F31*F$46/F69</f>
        <v>46191355.596183516</v>
      </c>
      <c r="G293" s="13">
        <f>+G13+G31*G$46/G69</f>
        <v>48377000</v>
      </c>
      <c r="H293" s="13"/>
      <c r="I293" s="13"/>
    </row>
    <row r="294" spans="1:9" x14ac:dyDescent="0.25">
      <c r="A294">
        <f t="shared" si="32"/>
        <v>1972</v>
      </c>
      <c r="B294" s="13">
        <f>+B14+B32*B$46/B70</f>
        <v>7819355.0275605051</v>
      </c>
      <c r="C294" s="13">
        <f>+C14+C32*C$46/C70</f>
        <v>33794109.51576075</v>
      </c>
      <c r="D294" s="13">
        <f>+D14+D32*D$46/D70</f>
        <v>51361060.726793662</v>
      </c>
      <c r="E294" s="13">
        <f>+E14+E32*E$46/E70</f>
        <v>64559285.654721923</v>
      </c>
      <c r="F294" s="13">
        <f>+F14+F32*F$46/F70</f>
        <v>61163000</v>
      </c>
      <c r="G294" s="13"/>
      <c r="H294" s="13"/>
      <c r="I294" s="13"/>
    </row>
    <row r="295" spans="1:9" x14ac:dyDescent="0.25">
      <c r="A295">
        <f t="shared" si="32"/>
        <v>1973</v>
      </c>
      <c r="B295" s="13">
        <f>+B15+B33*B$46/B71</f>
        <v>9533246.4146535993</v>
      </c>
      <c r="C295" s="13">
        <f>+C15+C33*C$46/C71</f>
        <v>34585430.755321778</v>
      </c>
      <c r="D295" s="13">
        <f>+D15+D33*D$46/D71</f>
        <v>49667341.655991018</v>
      </c>
      <c r="E295" s="13">
        <f>+E15+E33*E$46/E71</f>
        <v>73733000</v>
      </c>
      <c r="F295" s="13"/>
      <c r="G295" s="13"/>
      <c r="H295" s="13"/>
      <c r="I295" s="13"/>
    </row>
    <row r="296" spans="1:9" x14ac:dyDescent="0.25">
      <c r="A296">
        <f t="shared" si="32"/>
        <v>1974</v>
      </c>
      <c r="B296" s="13">
        <f>+B16+B34*B$46/B72</f>
        <v>10348458.389970351</v>
      </c>
      <c r="C296" s="13">
        <f>+C16+C34*C$46/C72</f>
        <v>41241242.674858227</v>
      </c>
      <c r="D296" s="13">
        <f>+D16+D34*D$46/D72</f>
        <v>63477000.000000007</v>
      </c>
      <c r="E296" s="13"/>
      <c r="F296" s="13"/>
      <c r="G296" s="13"/>
      <c r="H296" s="13"/>
      <c r="I296" s="13"/>
    </row>
    <row r="297" spans="1:9" x14ac:dyDescent="0.25">
      <c r="A297">
        <f t="shared" si="32"/>
        <v>1975</v>
      </c>
      <c r="B297" s="13">
        <f>+B17+B35*B$46/B73</f>
        <v>13102479.278755274</v>
      </c>
      <c r="C297" s="13">
        <f>+C17+C35*C$46/C73</f>
        <v>48904000</v>
      </c>
      <c r="D297" s="13"/>
      <c r="E297" s="13"/>
      <c r="F297" s="13"/>
      <c r="G297" s="13"/>
      <c r="H297" s="13"/>
      <c r="I297" s="13"/>
    </row>
    <row r="298" spans="1:9" x14ac:dyDescent="0.25">
      <c r="A298">
        <f t="shared" si="32"/>
        <v>1976</v>
      </c>
      <c r="B298" s="13">
        <f>+B18+B36*B$46/B74</f>
        <v>15791000</v>
      </c>
      <c r="C298" s="13"/>
      <c r="D298" s="13"/>
      <c r="E298" s="13"/>
      <c r="F298" s="13"/>
      <c r="G298" s="13"/>
      <c r="H298" s="13"/>
      <c r="I298" s="13"/>
    </row>
    <row r="300" spans="1:9" x14ac:dyDescent="0.25">
      <c r="A300">
        <v>1969</v>
      </c>
      <c r="B300" s="3">
        <f>C291/B291</f>
        <v>3.185694131756021</v>
      </c>
      <c r="C300" s="3">
        <f t="shared" ref="C300:H300" si="33">D291/C291</f>
        <v>1.5361116354855366</v>
      </c>
      <c r="D300" s="3">
        <f t="shared" si="33"/>
        <v>1.3964967811049969</v>
      </c>
      <c r="E300" s="3">
        <f t="shared" si="33"/>
        <v>0.90711610402099496</v>
      </c>
      <c r="F300" s="3">
        <f t="shared" si="33"/>
        <v>1.062206926354093</v>
      </c>
      <c r="G300" s="3">
        <f t="shared" si="33"/>
        <v>0.96147278869214414</v>
      </c>
      <c r="H300" s="3">
        <f t="shared" si="33"/>
        <v>0.97872893662490779</v>
      </c>
    </row>
    <row r="301" spans="1:9" x14ac:dyDescent="0.25">
      <c r="A301">
        <f>A300+1</f>
        <v>1970</v>
      </c>
      <c r="B301" s="3">
        <f t="shared" ref="B301:G306" si="34">C292/B292</f>
        <v>4.2096993262541531</v>
      </c>
      <c r="C301" s="3">
        <f t="shared" si="34"/>
        <v>1.5549727577954815</v>
      </c>
      <c r="D301" s="3">
        <f t="shared" si="34"/>
        <v>1.3474897190090902</v>
      </c>
      <c r="E301" s="3">
        <f t="shared" si="34"/>
        <v>0.92620815823270763</v>
      </c>
      <c r="F301" s="3">
        <f t="shared" si="34"/>
        <v>1.0859506471689577</v>
      </c>
      <c r="G301" s="3">
        <f t="shared" si="34"/>
        <v>0.96562844357266164</v>
      </c>
      <c r="H301" s="3"/>
    </row>
    <row r="302" spans="1:9" x14ac:dyDescent="0.25">
      <c r="A302">
        <f t="shared" ref="A302:A307" si="35">A301+1</f>
        <v>1971</v>
      </c>
      <c r="B302" s="3">
        <f t="shared" si="34"/>
        <v>4.2766702134700534</v>
      </c>
      <c r="C302" s="3">
        <f t="shared" si="34"/>
        <v>1.6176163862649997</v>
      </c>
      <c r="D302" s="3">
        <f t="shared" si="34"/>
        <v>1.2159853859598428</v>
      </c>
      <c r="E302" s="3">
        <f t="shared" si="34"/>
        <v>0.91789125785368153</v>
      </c>
      <c r="F302" s="3">
        <f t="shared" si="34"/>
        <v>1.047317173865256</v>
      </c>
      <c r="G302" s="3"/>
      <c r="H302" s="3"/>
    </row>
    <row r="303" spans="1:9" x14ac:dyDescent="0.25">
      <c r="A303">
        <f t="shared" si="35"/>
        <v>1972</v>
      </c>
      <c r="B303" s="3">
        <f t="shared" si="34"/>
        <v>4.3218538353416971</v>
      </c>
      <c r="C303" s="3">
        <f t="shared" si="34"/>
        <v>1.5198228763163626</v>
      </c>
      <c r="D303" s="3">
        <f t="shared" si="34"/>
        <v>1.2569694772881337</v>
      </c>
      <c r="E303" s="3">
        <f t="shared" si="34"/>
        <v>0.94739276278727669</v>
      </c>
      <c r="F303" s="3"/>
      <c r="G303" s="3"/>
      <c r="H303" s="3"/>
    </row>
    <row r="304" spans="1:9" x14ac:dyDescent="0.25">
      <c r="A304">
        <f t="shared" si="35"/>
        <v>1973</v>
      </c>
      <c r="B304" s="3">
        <f t="shared" si="34"/>
        <v>3.6278754635105566</v>
      </c>
      <c r="C304" s="3">
        <f t="shared" si="34"/>
        <v>1.4360770003811081</v>
      </c>
      <c r="D304" s="3">
        <f t="shared" si="34"/>
        <v>1.4845368715461764</v>
      </c>
      <c r="E304" s="3"/>
      <c r="F304" s="3"/>
      <c r="G304" s="3"/>
      <c r="H304" s="3"/>
    </row>
    <row r="305" spans="1:9" x14ac:dyDescent="0.25">
      <c r="A305">
        <f t="shared" si="35"/>
        <v>1974</v>
      </c>
      <c r="B305" s="3">
        <f t="shared" si="34"/>
        <v>3.9852547230444424</v>
      </c>
      <c r="C305" s="3">
        <f t="shared" si="34"/>
        <v>1.5391631261076741</v>
      </c>
      <c r="D305" s="3"/>
      <c r="E305" s="3"/>
      <c r="F305" s="3"/>
      <c r="G305" s="3"/>
      <c r="H305" s="3"/>
    </row>
    <row r="306" spans="1:9" x14ac:dyDescent="0.25">
      <c r="A306">
        <f t="shared" si="35"/>
        <v>1975</v>
      </c>
      <c r="B306" s="3">
        <f t="shared" si="34"/>
        <v>3.7324233803059177</v>
      </c>
      <c r="C306" s="3"/>
      <c r="D306" s="3"/>
      <c r="E306" s="3"/>
      <c r="F306" s="3"/>
      <c r="G306" s="3"/>
      <c r="H306" s="3"/>
    </row>
    <row r="307" spans="1:9" x14ac:dyDescent="0.25">
      <c r="A307">
        <f t="shared" si="35"/>
        <v>1976</v>
      </c>
      <c r="B307" s="3"/>
      <c r="C307" s="3"/>
      <c r="D307" s="3"/>
      <c r="E307" s="3"/>
      <c r="F307" s="3"/>
      <c r="G307" s="3"/>
      <c r="H307" s="3"/>
    </row>
    <row r="309" spans="1:9" x14ac:dyDescent="0.25">
      <c r="B309" s="3">
        <f>AVERAGE(B300:B307)</f>
        <v>3.9056387248118343</v>
      </c>
      <c r="C309" s="3">
        <f t="shared" ref="C309:H309" si="36">AVERAGE(C300:C307)</f>
        <v>1.5339606303918603</v>
      </c>
      <c r="D309" s="3">
        <f t="shared" si="36"/>
        <v>1.340295646981648</v>
      </c>
      <c r="E309" s="3">
        <f t="shared" si="36"/>
        <v>0.92465207072366518</v>
      </c>
      <c r="F309" s="3">
        <f t="shared" si="36"/>
        <v>1.0651582491294356</v>
      </c>
      <c r="G309" s="3">
        <f t="shared" si="36"/>
        <v>0.96355061613240289</v>
      </c>
      <c r="H309" s="3">
        <f t="shared" si="36"/>
        <v>0.97872893662490779</v>
      </c>
      <c r="I309" s="3">
        <v>1</v>
      </c>
    </row>
    <row r="310" spans="1:9" x14ac:dyDescent="0.25">
      <c r="B310" s="3">
        <f t="shared" ref="B310:G310" si="37">B309*C310</f>
        <v>7.4582396224537071</v>
      </c>
      <c r="C310" s="3">
        <f t="shared" si="37"/>
        <v>1.9096081711482493</v>
      </c>
      <c r="D310" s="3">
        <f t="shared" si="37"/>
        <v>1.2448873415091672</v>
      </c>
      <c r="E310" s="3">
        <f t="shared" si="37"/>
        <v>0.92881547762440275</v>
      </c>
      <c r="F310" s="3">
        <f t="shared" si="37"/>
        <v>1.004502674067965</v>
      </c>
      <c r="G310" s="3">
        <f t="shared" si="37"/>
        <v>0.94305486991154142</v>
      </c>
      <c r="H310" s="3">
        <f>H309*I310</f>
        <v>0.97872893662490779</v>
      </c>
      <c r="I310" s="3">
        <f>I309</f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med_mal</vt:lpstr>
      <vt:lpstr>med_mal v2</vt:lpstr>
      <vt:lpstr>adjusted_case</vt:lpstr>
      <vt:lpstr>average_case</vt:lpstr>
      <vt:lpstr>cal_year</vt:lpstr>
      <vt:lpstr>case</vt:lpstr>
      <vt:lpstr>inflation</vt:lpstr>
      <vt:lpstr>open</vt:lpstr>
      <vt:lpstr>paid</vt:lpstr>
      <vt:lpstr>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Sahasrabuddhe</cp:lastModifiedBy>
  <dcterms:created xsi:type="dcterms:W3CDTF">2026-03-15T23:21:47Z</dcterms:created>
  <dcterms:modified xsi:type="dcterms:W3CDTF">2026-04-09T00:01:43Z</dcterms:modified>
</cp:coreProperties>
</file>